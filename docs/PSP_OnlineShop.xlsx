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PSP" sheetId="1" state="visible" r:id="rId1"/>
    <sheet name="AP-Beschreibung" sheetId="2" state="visible" r:id="rId2"/>
    <sheet name="Zeitplan und Statusübersicht" sheetId="3" state="visible" r:id="rId3"/>
    <sheet name="Testprotokolle" sheetId="4" state="visible" r:id="rId4"/>
    <sheet name="Historie" sheetId="5" state="visible" r:id="rId5"/>
    <sheet name="Hinweise" sheetId="6" state="visible" r:id="rId6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<sst xmlns="http://schemas.openxmlformats.org/spreadsheetml/2006/main" count="246" uniqueCount="246">
  <si>
    <t>Projektstrukturplan</t>
  </si>
  <si>
    <t>Projekt:</t>
  </si>
  <si>
    <t>OnlineShop</t>
  </si>
  <si>
    <t>Beginn:</t>
  </si>
  <si>
    <t>Auftraggeber:</t>
  </si>
  <si>
    <t xml:space="preserve">IBB Institut</t>
  </si>
  <si>
    <t>Abschluss:</t>
  </si>
  <si>
    <t>Auftragnehmer:</t>
  </si>
  <si>
    <t xml:space="preserve">Karpenko Viktor</t>
  </si>
  <si>
    <t xml:space="preserve">Verfügbare Tage:</t>
  </si>
  <si>
    <t xml:space="preserve">Geplante Tage:</t>
  </si>
  <si>
    <t xml:space="preserve">Lfd. Nr.</t>
  </si>
  <si>
    <t>ID</t>
  </si>
  <si>
    <t xml:space="preserve">Vorgang / Arbeitspaket</t>
  </si>
  <si>
    <t xml:space="preserve">Geplante Dauer
(Arbeitstage)</t>
  </si>
  <si>
    <t xml:space="preserve">Beschreibung / Ergebnis</t>
  </si>
  <si>
    <t>Verantwortlich</t>
  </si>
  <si>
    <t>Initiierung</t>
  </si>
  <si>
    <t xml:space="preserve">Erstellung Lastenheft</t>
  </si>
  <si>
    <t xml:space="preserve">Lastenheft.docx erstellen und abgeben</t>
  </si>
  <si>
    <t>PP</t>
  </si>
  <si>
    <t xml:space="preserve">Projektplanung / Analyse</t>
  </si>
  <si>
    <t xml:space="preserve">PSP, AP-Beschreibungen, Zeitplan anlegen</t>
  </si>
  <si>
    <t>MS1</t>
  </si>
  <si>
    <t xml:space="preserve">Meilenstein 1: Abschluss Planung</t>
  </si>
  <si>
    <t>–</t>
  </si>
  <si>
    <t xml:space="preserve">Lastenheft + PSP fertig → Abgabe Projektstand 1</t>
  </si>
  <si>
    <t>TA1</t>
  </si>
  <si>
    <t xml:space="preserve">Erstellung Pflichtenheft</t>
  </si>
  <si>
    <t xml:space="preserve">Pflichtenheft.docx vollständig fertigstellen</t>
  </si>
  <si>
    <t>MS2</t>
  </si>
  <si>
    <t xml:space="preserve">Meilenstein 2: Abgabe Pflichtenheft</t>
  </si>
  <si>
    <t xml:space="preserve">Pflichtenheft abgegeben → Abgabe Projektstand 2</t>
  </si>
  <si>
    <t>TA2</t>
  </si>
  <si>
    <t>Feinentwurf</t>
  </si>
  <si>
    <t xml:space="preserve">Klassendiagramm, DB-Schema, UI-Mockups</t>
  </si>
  <si>
    <t>TA3</t>
  </si>
  <si>
    <t>Umsetzung</t>
  </si>
  <si>
    <t xml:space="preserve">Implementierungsphase (AP 3.1 – 3.7)</t>
  </si>
  <si>
    <t>AP3.1</t>
  </si>
  <si>
    <t xml:space="preserve">Projektsetup &amp; Docker</t>
  </si>
  <si>
    <t xml:space="preserve">Spring Initializr, Git, docker-compose, Flyway V1</t>
  </si>
  <si>
    <t>AP3.2</t>
  </si>
  <si>
    <t xml:space="preserve">Auth &amp; User-Management</t>
  </si>
  <si>
    <t xml:space="preserve">Spring Security, BCrypt, Login/Register, Profil</t>
  </si>
  <si>
    <t>AP3.3</t>
  </si>
  <si>
    <t>Produktkatalog</t>
  </si>
  <si>
    <t xml:space="preserve">Product-CRUD, Paginierung, Suche, Bild-Upload</t>
  </si>
  <si>
    <t>AP3.4</t>
  </si>
  <si>
    <t>Warenkorb</t>
  </si>
  <si>
    <t xml:space="preserve">Cart/CartItem, PriceCalculatorService, Warenkorb-Seite</t>
  </si>
  <si>
    <t>AP3.5</t>
  </si>
  <si>
    <t xml:space="preserve">Bestellprozess &amp; Favoriten</t>
  </si>
  <si>
    <t xml:space="preserve">OrderService (@Transactional), Checkout, Bestellhistorie, Favoriten</t>
  </si>
  <si>
    <t>AP3.6</t>
  </si>
  <si>
    <t>Admin-Bereich</t>
  </si>
  <si>
    <t xml:space="preserve">CRUD Produkte/Kategorien/Bestellungen/Benutzer, RBAC</t>
  </si>
  <si>
    <t>AP3.7</t>
  </si>
  <si>
    <t>Analytics-Dashboard</t>
  </si>
  <si>
    <t xml:space="preserve">AnalyticsService, Chart.js, Top-Produkte, Umsatz/Monat</t>
  </si>
  <si>
    <t>MS3</t>
  </si>
  <si>
    <t xml:space="preserve">Meilenstein 3: Umsetzung fertig</t>
  </si>
  <si>
    <t xml:space="preserve">Code-Freeze → Abgabe Projektstand 3</t>
  </si>
  <si>
    <t>TA4</t>
  </si>
  <si>
    <t>Test</t>
  </si>
  <si>
    <t xml:space="preserve">Testphase (AP 4.1 – 4.2)</t>
  </si>
  <si>
    <t>AP4.1</t>
  </si>
  <si>
    <t xml:space="preserve">Testszenarien &amp; JUnit-Tests</t>
  </si>
  <si>
    <t xml:space="preserve">Unit-Tests (Service), MockMvc (Controller)</t>
  </si>
  <si>
    <t>AP4.2</t>
  </si>
  <si>
    <t xml:space="preserve">Integrationstests &amp; Testprotokolle</t>
  </si>
  <si>
    <t xml:space="preserve">Integrationstests mit H2, Testprotokolle ausfüllen</t>
  </si>
  <si>
    <t>MS4</t>
  </si>
  <si>
    <t xml:space="preserve">Meilenstein 4: Endabnahme</t>
  </si>
  <si>
    <t xml:space="preserve">Alle Tests bestanden → Abgabe Projektstand 4</t>
  </si>
  <si>
    <t>TA5</t>
  </si>
  <si>
    <t xml:space="preserve">Benutzerhandbuch / README</t>
  </si>
  <si>
    <t xml:space="preserve">README.md mit Setup-Anleitung (Docker, Flyway, Profile)</t>
  </si>
  <si>
    <t>TA6</t>
  </si>
  <si>
    <t>Projektabschlussbericht</t>
  </si>
  <si>
    <t xml:space="preserve">Projektabschlussbericht.docx ausfüllen</t>
  </si>
  <si>
    <t>MS5</t>
  </si>
  <si>
    <t xml:space="preserve">Meilenstein 5: Auslieferung (Abgabe)</t>
  </si>
  <si>
    <t>1</t>
  </si>
  <si>
    <t xml:space="preserve">Alle Dokumente + Quellcode als ZIP-Archiv abgeben</t>
  </si>
  <si>
    <t>MS6</t>
  </si>
  <si>
    <t>Projektende</t>
  </si>
  <si>
    <t xml:space="preserve">Projekt abgeschlossen</t>
  </si>
  <si>
    <t xml:space="preserve">Gesamt geplante Arbeitstage:</t>
  </si>
  <si>
    <t>Arbeitspakete</t>
  </si>
  <si>
    <t xml:space="preserve">Pos.-Nr. / AP-Nr.:</t>
  </si>
  <si>
    <t>Titel:</t>
  </si>
  <si>
    <t>Beschreibung:</t>
  </si>
  <si>
    <t xml:space="preserve">Spring-Boot-Projekt anlegen (Spring Initializr), Git-Repository initialisieren, docker-compose für App + MySQL konfigurieren, Flyway-Migrationen V1 (User) und V2 (Category) anlegen, Grundgerüst SecurityConfig.</t>
  </si>
  <si>
    <t xml:space="preserve">Lösungswege / Tools:</t>
  </si>
  <si>
    <t xml:space="preserve">– Spring Initializr
– IntelliJ IDEA
– Docker Desktop
– Git</t>
  </si>
  <si>
    <t>Voraussetzungen:</t>
  </si>
  <si>
    <t xml:space="preserve">– Pflichtenheft muss vorliegen
– Java 21 und Docker installiert</t>
  </si>
  <si>
    <t xml:space="preserve">Probleme und Risiken:</t>
  </si>
  <si>
    <t xml:space="preserve">– Konfigurationsfehler in docker-compose (Port-Konflikte)
– Flyway-Migration schlägt fehl wenn MySQL noch nicht bereit</t>
  </si>
  <si>
    <t xml:space="preserve">Geschätzter Aufwand:</t>
  </si>
  <si>
    <t xml:space="preserve">3 AT</t>
  </si>
  <si>
    <t xml:space="preserve">Begonnen am:</t>
  </si>
  <si>
    <t>Status:</t>
  </si>
  <si>
    <t>fertig</t>
  </si>
  <si>
    <t xml:space="preserve">Abgeschlossen am:</t>
  </si>
  <si>
    <t>Bemerkungen:</t>
  </si>
  <si>
    <t xml:space="preserve">CustomUserDetailsService implementieren, BCryptPasswordEncoder konfigurieren, AuthSuccessHandler (Rollen-basierte Weiterleitung), Registrierungsseite mit Validierung, Profil-Seite, UserService/Impl.</t>
  </si>
  <si>
    <t xml:space="preserve">– Spring Security 6
– Thymeleaf
– Bootstrap 5</t>
  </si>
  <si>
    <t xml:space="preserve">– AP3.1 abgeschlossen
– Flyway V1 (users-Tabelle) existiert</t>
  </si>
  <si>
    <t xml:space="preserve">– Security-Konfiguration für neue Spring Security 6 API unterscheidet sich von älteren Versionen
– Passwort-Validierungsregeln ggf. anpassen</t>
  </si>
  <si>
    <t xml:space="preserve">4 AT</t>
  </si>
  <si>
    <t xml:space="preserve">Product-Entity, Category-Entity, Flyway V3 (products), ProductService/Impl, ProductController (shop/), Produktliste mit Paginierung (Pageable) und Filter (ProductSpecification), Produktdetailseite, Bild-Upload (FileUploadService).</t>
  </si>
  <si>
    <t xml:space="preserve">– Spring Data JPA
– MapStruct
– Thymeleaf</t>
  </si>
  <si>
    <t xml:space="preserve">– AP3.2 abgeschlossen
– Flyway V2 (categories) und V3 (products) vorhanden</t>
  </si>
  <si>
    <t xml:space="preserve">– Bild-Upload-Pfad muss aus application.yml gelesen werden (nicht hartcodiert)
– ProductSpecification muss NULL-sichere Filterung implementieren</t>
  </si>
  <si>
    <t xml:space="preserve">Cart- und CartItem-Entity, Flyway V5, CartService/Impl mit Transaktionslogik, PriceCalculatorService, CartController (shop/), CartApiController (api/ für AJAX), Warenkorb-Seite.</t>
  </si>
  <si>
    <t xml:space="preserve">– Spring Data JPA
– Bootstrap 5
– JavaScript (cart.js)</t>
  </si>
  <si>
    <t xml:space="preserve">– AP3.3 abgeschlossen
– Flyway V5 (cart-Tabellen) vorhanden</t>
  </si>
  <si>
    <t xml:space="preserve">– Gleichzeitiger Zugriff auf denselben Warenkorb (optimistische Sperre beachten)
– AJAX-Update erfordert korrekte CSRF-Token-Übertragung</t>
  </si>
  <si>
    <t xml:space="preserve">Order/OrderItem-Entity, Flyway V4 + V6, OrderService.checkout() mit @Transactional (Bestand prüfen, unitPrice speichern, Warenkorb leeren), Checkout-Seite, Bestellhistorie, FavoriteService/Impl, Favoritenliste.</t>
  </si>
  <si>
    <t xml:space="preserve">– Spring Data JPA
– @Transactional
– Thymeleaf</t>
  </si>
  <si>
    <t xml:space="preserve">– AP3.4 abgeschlossen
– Flyway V4 (orders) und V6 (favorites) vorhanden</t>
  </si>
  <si>
    <t xml:space="preserve">– ProductOutOfStockException muss Transaktion vollständig rollbacken
– unitPrice muss zum Bestellzeitpunkt eingefroren werden</t>
  </si>
  <si>
    <t xml:space="preserve">AdminProductController, AdminCategoryController, AdminOrderController, AdminUserController; Admin-Thymeleaf-Templates (dashboard, products, categories, orders, users); Zugriffsschutz per ROLE_ADMIN in SecurityConfig; Bestellstatus-Workflow.</t>
  </si>
  <si>
    <t xml:space="preserve">– Spring Security (RBAC)
– Thymeleaf admin-Templates
– Bootstrap 5</t>
  </si>
  <si>
    <t xml:space="preserve">– AP3.5 abgeschlossen
– Alle Entitäten und Services implementiert</t>
  </si>
  <si>
    <t xml:space="preserve">– Fehlerhafte ROLE_ADMIN-Konfiguration kann unautorisierten Zugriff ermöglichen
– Admin-Templates müssen optisch klar vom Kundenbereich getrennt sein</t>
  </si>
  <si>
    <t xml:space="preserve">AnalyticsService/Impl mit JPQL-Aggregationsqueries (Umsatz pro Monat, Top-10-Produkte, Bestellanzahl pro Status), AdminAnalyticsController, analytics.html mit Chart.js-Diagrammen.</t>
  </si>
  <si>
    <t xml:space="preserve">– Spring Data JPA (JPQL)
– Chart.js (CDN)
– Thymeleaf</t>
  </si>
  <si>
    <t xml:space="preserve">– AP3.6 abgeschlossen
– Bestelldaten in DB vorhanden (Testdaten)</t>
  </si>
  <si>
    <t xml:space="preserve">– JPQL-Aggregationen können bei großen Datenmengen langsam sein (Index beachten)
– Chart.js-Daten müssen als JSON-Array aus Thymeleaf übergeben werden</t>
  </si>
  <si>
    <t xml:space="preserve">2 AT</t>
  </si>
  <si>
    <t xml:space="preserve">JUnit-5-Tests für alle Service-Klassen (UserService, ProductService, CartService, OrderService), MockMvc-Tests für Controller (Login, Registrierung, Warenkorb), Testprofil mit H2-In-Memory-Datenbank (application-test.yml).</t>
  </si>
  <si>
    <t xml:space="preserve">– JUnit 5
– Spring MockMvc
– H2 (Test-Profil)</t>
  </si>
  <si>
    <t xml:space="preserve">– Umsetzung (AP3.1–AP3.7) abgeschlossen</t>
  </si>
  <si>
    <t xml:space="preserve">– H2-Kompatibilität mit Flyway-Migrationen prüfen (MySQL-spezifische SQL-Syntax ggf. anpassen)</t>
  </si>
  <si>
    <t>offen</t>
  </si>
  <si>
    <t xml:space="preserve">End-to-End-Integrationstests für kritische Flows (Checkout, Auth), Testszenarien /T01/–/T12/ aus dem Lastenheft manuell durchführen, Testprotokolle in PSP.xlsx ausfüllen.</t>
  </si>
  <si>
    <t xml:space="preserve">– Spring Boot Test
– PSP.xlsx Testprotokolle</t>
  </si>
  <si>
    <t xml:space="preserve">– AP4.1 abgeschlossen</t>
  </si>
  <si>
    <t xml:space="preserve">– Integrationstests benötigen laufende Docker-Umgebung
– Testdaten müssen vor jedem Testlauf konsistent sein</t>
  </si>
  <si>
    <t xml:space="preserve">Zeitplan und Statusübersicht</t>
  </si>
  <si>
    <t xml:space="preserve">Geplante Tage (PSP):</t>
  </si>
  <si>
    <t xml:space="preserve">Geplante Tage hier:</t>
  </si>
  <si>
    <t xml:space="preserve">Abweichung hier:</t>
  </si>
  <si>
    <t>Vorgang</t>
  </si>
  <si>
    <t>AT</t>
  </si>
  <si>
    <t xml:space="preserve">Beginn SOLL</t>
  </si>
  <si>
    <t xml:space="preserve">Ende SOLL</t>
  </si>
  <si>
    <t xml:space="preserve">Ende IST</t>
  </si>
  <si>
    <t>Differenz</t>
  </si>
  <si>
    <t>Status</t>
  </si>
  <si>
    <t>Bemerkungen</t>
  </si>
  <si>
    <t xml:space="preserve">Projektplanung / PSP / Analyse</t>
  </si>
  <si>
    <t xml:space="preserve">Meilenstein 1: Abschluss Projektplanung</t>
  </si>
  <si>
    <t xml:space="preserve">Abgabe Projektstand 1</t>
  </si>
  <si>
    <t xml:space="preserve">Abgabe Projektstand 2</t>
  </si>
  <si>
    <t xml:space="preserve">Feinentwurf (DB-Schema, Mockups)</t>
  </si>
  <si>
    <t xml:space="preserve">Start der Implementierung</t>
  </si>
  <si>
    <t xml:space="preserve">Abgabe Projektstand 3</t>
  </si>
  <si>
    <t xml:space="preserve">Meilenstein 3: Umsetzung fertig / Code-Freeze</t>
  </si>
  <si>
    <t xml:space="preserve">Abgabe Projektstand 4</t>
  </si>
  <si>
    <t xml:space="preserve">JUnit-Tests &amp; Testszenarien</t>
  </si>
  <si>
    <t xml:space="preserve">README / Benutzerhandbuch</t>
  </si>
  <si>
    <t xml:space="preserve">finaler ZIP-Abgabe an IBB</t>
  </si>
  <si>
    <t xml:space="preserve">Meilenstein 6: Projektende</t>
  </si>
  <si>
    <t>Testprotokolle</t>
  </si>
  <si>
    <t xml:space="preserve">Testfall (aus Lastenheft)</t>
  </si>
  <si>
    <t xml:space="preserve">Letzter Test am</t>
  </si>
  <si>
    <t>/T01/</t>
  </si>
  <si>
    <t xml:space="preserve">Registrierung mit gültiger E-Mail und Passwort</t>
  </si>
  <si>
    <t>/T02/</t>
  </si>
  <si>
    <t xml:space="preserve">Registrierung mit bereits vorhandener E-Mail</t>
  </si>
  <si>
    <t>/T03/</t>
  </si>
  <si>
    <t xml:space="preserve">Login mit falschem Passwort</t>
  </si>
  <si>
    <t>/T04/</t>
  </si>
  <si>
    <t xml:space="preserve">Produkt in Warenkorb legen (eingeloggt, Bestand &gt; 0)</t>
  </si>
  <si>
    <t>/T05/</t>
  </si>
  <si>
    <t xml:space="preserve">Checkout mit Produkt (Lagerbestand = 0)</t>
  </si>
  <si>
    <t>/T06/</t>
  </si>
  <si>
    <t xml:space="preserve">Admin legt neues Produkt an</t>
  </si>
  <si>
    <t>/T07/</t>
  </si>
  <si>
    <t xml:space="preserve">Nicht eingeloggter Benutzer ruft /admin/** auf</t>
  </si>
  <si>
    <t>/T08/</t>
  </si>
  <si>
    <t xml:space="preserve">Eingeloggter USER ruft /admin/** auf</t>
  </si>
  <si>
    <t>/T09/</t>
  </si>
  <si>
    <t xml:space="preserve">Admin ändert Bestellstatus zu VERSENDET</t>
  </si>
  <si>
    <t>/T10/</t>
  </si>
  <si>
    <t xml:space="preserve">Produkt zu Favoriten hinzufügen und entfernen</t>
  </si>
  <si>
    <t>/T11/</t>
  </si>
  <si>
    <t xml:space="preserve">Admin sperrt Benutzer (ACTIVE → BLOCKED)</t>
  </si>
  <si>
    <t>/T12/</t>
  </si>
  <si>
    <t xml:space="preserve">Produktsuche nach Name (Teilstring)</t>
  </si>
  <si>
    <t xml:space="preserve">Pos.-Nr. 1   |   Testfall: /T01/</t>
  </si>
  <si>
    <t xml:space="preserve">Ergebnis / Datum:</t>
  </si>
  <si>
    <t>Aktivität:</t>
  </si>
  <si>
    <t xml:space="preserve">Pos.-Nr. 2   |   Testfall: /T02/</t>
  </si>
  <si>
    <t xml:space="preserve">Pos.-Nr. 3   |   Testfall: /T03/</t>
  </si>
  <si>
    <t xml:space="preserve">Pos.-Nr. 4   |   Testfall: /T04/</t>
  </si>
  <si>
    <t xml:space="preserve">Pos.-Nr. 5   |   Testfall: /T05/</t>
  </si>
  <si>
    <t xml:space="preserve">Pos.-Nr. 6   |   Testfall: /T06/</t>
  </si>
  <si>
    <t xml:space="preserve">Pos.-Nr. 7   |   Testfall: /T07/</t>
  </si>
  <si>
    <t xml:space="preserve">Pos.-Nr. 8   |   Testfall: /T08/</t>
  </si>
  <si>
    <t xml:space="preserve">Pos.-Nr. 9   |   Testfall: /T09/</t>
  </si>
  <si>
    <t xml:space="preserve">Pos.-Nr. 10   |   Testfall: /T10/</t>
  </si>
  <si>
    <t xml:space="preserve">Pos.-Nr. 11   |   Testfall: /T11/</t>
  </si>
  <si>
    <t xml:space="preserve">Pos.-Nr. 12   |   Testfall: /T12/</t>
  </si>
  <si>
    <t>Dokumenthistorie</t>
  </si>
  <si>
    <t>Nr.</t>
  </si>
  <si>
    <t>Datum</t>
  </si>
  <si>
    <t xml:space="preserve">Geänderte ID</t>
  </si>
  <si>
    <t xml:space="preserve">Beschreibung der Änderung</t>
  </si>
  <si>
    <t>Autor</t>
  </si>
  <si>
    <t>Zustand</t>
  </si>
  <si>
    <t xml:space="preserve">Initiale Projekterstellung, Lastenheft erstellt</t>
  </si>
  <si>
    <t xml:space="preserve">Pflichtenheft fertiggestellt</t>
  </si>
  <si>
    <t xml:space="preserve">Feinentwurf / DB-Schema abgeschlossen</t>
  </si>
  <si>
    <t>AP3.1–AP3.7</t>
  </si>
  <si>
    <t xml:space="preserve">Umsetzung abgeschlossen, Code-Freeze</t>
  </si>
  <si>
    <t xml:space="preserve">AP4.1, AP4.2</t>
  </si>
  <si>
    <t xml:space="preserve">Tests und Testprotokolle abgeschlossen</t>
  </si>
  <si>
    <t xml:space="preserve">TA5, TA6, MS5</t>
  </si>
  <si>
    <t xml:space="preserve">README + Abschlussbericht + Abgabe</t>
  </si>
  <si>
    <t xml:space="preserve">Hinweise zu dieser Datei</t>
  </si>
  <si>
    <t>Farbcode:</t>
  </si>
  <si>
    <t xml:space="preserve">  • Hellgelb (FFFACD)  = Eingabefeld – hier Daten eintragen</t>
  </si>
  <si>
    <t xml:space="preserve">  • Hellblau (D6E4F0)  = berechnetes Feld / Formel – nicht manuell ändern</t>
  </si>
  <si>
    <t xml:space="preserve">  • Hellblau (EBF5FB)  = Beschriftungsfeld (Teilaufgabe)</t>
  </si>
  <si>
    <t xml:space="preserve">  • Gelb (FFF2CC)       = Meilenstein-Zeile</t>
  </si>
  <si>
    <t xml:space="preserve">  • Weiß                = Standard-Arbeitspaket</t>
  </si>
  <si>
    <t xml:space="preserve">Arbeitsanweisung Zeitplan:</t>
  </si>
  <si>
    <t xml:space="preserve">  1. Spalte 'Ende IST' ausfüllen, sobald ein Arbeitspaket abgeschlossen ist.</t>
  </si>
  <si>
    <t xml:space="preserve">  2. Spalte 'Status' auf 'fertig' setzen.</t>
  </si>
  <si>
    <t xml:space="preserve">  3. Die Spalte 'Differenz' berechnet sich automatisch (Ende IST – Ende SOLL).</t>
  </si>
  <si>
    <t xml:space="preserve">  4. Spalte 'Bemerkungen' für Abweichungen und Begründungen nutzen.</t>
  </si>
  <si>
    <t xml:space="preserve">Arbeitsanweisung Testprotokolle:</t>
  </si>
  <si>
    <t xml:space="preserve">  1. 'Letzter Test am' und 'Status' (Ok / Fehler / offen) ausfüllen.</t>
  </si>
  <si>
    <t xml:space="preserve">  2. Detailkarte des Testfalls weiter unten im selben Blatt ausfüllen.</t>
  </si>
  <si>
    <t xml:space="preserve">Abgaberhythmus (Level 2):</t>
  </si>
  <si>
    <t xml:space="preserve">  Alle zwei Wochen aktuellen Projektstand als ZIP-Archiv an</t>
  </si>
  <si>
    <t xml:space="preserve">  softwareentwicklung.weiterbildung@ibb.com senden.</t>
  </si>
  <si>
    <t xml:space="preserve">  Betreff: 'PROJEKTSTAND: OnlineShop'</t>
  </si>
  <si>
    <t xml:space="preserve">Neue Zeilen einfügen:</t>
  </si>
  <si>
    <t xml:space="preserve">  Immer die Excel-Funktion 'Zeilen einfügen' verwenden, damit</t>
  </si>
  <si>
    <t xml:space="preserve">  Formatierungen und bedingte Formate automatisch übernommen werden.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</si>
</sst>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d/mm/yyyy"/>
  </numFmts>
  <fonts count="7">
    <font>
      <sz val="11.000000"/>
      <color theme="1"/>
      <name val="Calibri"/>
    </font>
    <font>
      <b/>
      <sz val="16.000000"/>
      <color indexed="65"/>
      <name val="Arial"/>
    </font>
    <font>
      <b/>
      <sz val="10.000000"/>
      <name val="Arial"/>
    </font>
    <font>
      <sz val="10.000000"/>
      <name val="Arial"/>
    </font>
    <font>
      <b/>
      <sz val="10.000000"/>
      <color indexed="65"/>
      <name val="Arial"/>
    </font>
    <font>
      <b/>
      <sz val="14.000000"/>
      <color indexed="65"/>
      <name val="Arial"/>
    </font>
    <font>
      <b/>
      <sz val="13.000000"/>
      <color indexed="6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5C99"/>
        <bgColor rgb="FF2E75B6"/>
      </patternFill>
    </fill>
    <fill>
      <patternFill patternType="solid">
        <fgColor indexed="65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E8F4FD"/>
        <bgColor rgb="FFF2F2F2"/>
      </patternFill>
    </fill>
    <fill>
      <patternFill patternType="solid">
        <fgColor rgb="FF2E75B6"/>
        <bgColor rgb="FF1F5C99"/>
      </patternFill>
    </fill>
    <fill>
      <patternFill patternType="solid">
        <fgColor rgb="FFD6E4F0"/>
        <bgColor rgb="FFDDDDDD"/>
      </patternFill>
    </fill>
    <fill>
      <patternFill patternType="solid">
        <fgColor rgb="FFFFFACD"/>
        <bgColor rgb="FFFFF2CC"/>
      </patternFill>
    </fill>
    <fill>
      <patternFill patternType="solid">
        <fgColor rgb="FFDDDDDD"/>
        <bgColor rgb="FFD6E4F0"/>
      </patternFill>
    </fill>
    <fill>
      <patternFill patternType="solid">
        <fgColor rgb="FFF2F2F2"/>
        <bgColor rgb="FFE8F4FD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thin">
        <color rgb="FFBFBFBF"/>
      </left>
      <right style="none"/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54">
    <xf fontId="0" fillId="0" borderId="0" numFmtId="0" xfId="0"/>
    <xf fontId="1" fillId="2" borderId="0" numFmtId="0" xfId="0" applyFont="1" applyFill="1" applyAlignment="1">
      <alignment horizontal="center" vertical="center"/>
    </xf>
    <xf fontId="2" fillId="0" borderId="0" numFmtId="0" xfId="0" applyFont="1" applyAlignment="1">
      <alignment horizontal="left" vertical="center"/>
    </xf>
    <xf fontId="3" fillId="0" borderId="0" numFmtId="0" xfId="0" applyFont="1" applyAlignment="1">
      <alignment horizontal="left" vertical="center"/>
    </xf>
    <xf fontId="3" fillId="0" borderId="0" numFmtId="164" xfId="0" applyNumberFormat="1" applyFont="1" applyAlignment="1">
      <alignment horizontal="left" vertical="center"/>
    </xf>
    <xf fontId="4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left" vertical="center"/>
    </xf>
    <xf fontId="3" fillId="3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left" vertical="center" wrapText="1"/>
    </xf>
    <xf fontId="3" fillId="3" borderId="1" numFmtId="0" xfId="0" applyFont="1" applyFill="1" applyBorder="1" applyAlignment="1">
      <alignment horizontal="left" vertical="center"/>
    </xf>
    <xf fontId="2" fillId="4" borderId="1" numFmtId="0" xfId="0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left" vertical="center"/>
    </xf>
    <xf fontId="3" fillId="4" borderId="1" numFmtId="0" xfId="0" applyFont="1" applyFill="1" applyBorder="1" applyAlignment="1">
      <alignment horizontal="center" vertical="center"/>
    </xf>
    <xf fontId="3" fillId="4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horizontal="left" vertical="center"/>
    </xf>
    <xf fontId="2" fillId="5" borderId="1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left" vertical="center"/>
    </xf>
    <xf fontId="3" fillId="5" borderId="1" numFmtId="0" xfId="0" applyFont="1" applyFill="1" applyBorder="1" applyAlignment="1">
      <alignment horizontal="center" vertical="center"/>
    </xf>
    <xf fontId="3" fillId="5" borderId="1" numFmtId="0" xfId="0" applyFont="1" applyFill="1" applyBorder="1" applyAlignment="1">
      <alignment horizontal="left" vertical="center" wrapText="1"/>
    </xf>
    <xf fontId="3" fillId="5" borderId="1" numFmtId="0" xfId="0" applyFont="1" applyFill="1" applyBorder="1" applyAlignment="1">
      <alignment horizontal="left" vertical="center"/>
    </xf>
    <xf fontId="4" fillId="6" borderId="2" numFmtId="0" xfId="0" applyFont="1" applyFill="1" applyBorder="1" applyAlignment="1">
      <alignment horizontal="right" vertical="center"/>
    </xf>
    <xf fontId="2" fillId="7" borderId="1" numFmtId="0" xfId="0" applyFont="1" applyFill="1" applyBorder="1" applyAlignment="1">
      <alignment horizontal="center" vertical="center"/>
    </xf>
    <xf fontId="0" fillId="6" borderId="1" numFmtId="0" xfId="0" applyFill="1" applyBorder="1"/>
    <xf fontId="5" fillId="2" borderId="0" numFmtId="0" xfId="0" applyFont="1" applyFill="1" applyAlignment="1">
      <alignment horizontal="center" vertical="center"/>
    </xf>
    <xf fontId="2" fillId="0" borderId="0" numFmtId="0" xfId="0" applyFont="1"/>
    <xf fontId="3" fillId="0" borderId="0" numFmtId="0" xfId="0" applyFont="1"/>
    <xf fontId="2" fillId="7" borderId="1" numFmtId="0" xfId="0" applyFont="1" applyFill="1" applyBorder="1" applyAlignment="1">
      <alignment horizontal="left" vertical="top" wrapText="1"/>
    </xf>
    <xf fontId="3" fillId="3" borderId="1" numFmtId="0" xfId="0" applyFont="1" applyFill="1" applyBorder="1" applyAlignment="1">
      <alignment horizontal="left" vertical="top" wrapText="1"/>
    </xf>
    <xf fontId="3" fillId="8" borderId="1" numFmtId="165" xfId="0" applyNumberFormat="1" applyFont="1" applyFill="1" applyBorder="1" applyAlignment="1">
      <alignment horizontal="left" vertical="top" wrapText="1"/>
    </xf>
    <xf fontId="0" fillId="8" borderId="1" numFmtId="164" xfId="0" applyNumberFormat="1" applyFill="1" applyBorder="1" applyAlignment="1">
      <alignment horizontal="left" vertical="center" wrapText="1"/>
    </xf>
    <xf fontId="3" fillId="8" borderId="1" numFmtId="0" xfId="0" applyFont="1" applyFill="1" applyBorder="1" applyAlignment="1">
      <alignment horizontal="left" vertical="top" wrapText="1"/>
    </xf>
    <xf fontId="0" fillId="9" borderId="0" numFmtId="0" xfId="0" applyFill="1"/>
    <xf fontId="3" fillId="0" borderId="0" numFmtId="164" xfId="0" applyNumberFormat="1" applyFont="1"/>
    <xf fontId="3" fillId="5" borderId="1" numFmtId="164" xfId="0" applyNumberFormat="1" applyFont="1" applyFill="1" applyBorder="1" applyAlignment="1">
      <alignment horizontal="center" vertical="center"/>
    </xf>
    <xf fontId="0" fillId="8" borderId="1" numFmtId="164" xfId="0" applyNumberFormat="1" applyFill="1" applyBorder="1" applyAlignment="1">
      <alignment horizontal="center" vertical="center"/>
    </xf>
    <xf fontId="3" fillId="7" borderId="1" numFmtId="0" xfId="0" applyFont="1" applyFill="1" applyBorder="1" applyAlignment="1">
      <alignment horizontal="center" vertical="center"/>
    </xf>
    <xf fontId="0" fillId="8" borderId="1" numFmtId="0" xfId="0" applyFill="1" applyBorder="1" applyAlignment="1">
      <alignment horizontal="center" vertical="center"/>
    </xf>
    <xf fontId="3" fillId="4" borderId="1" numFmtId="164" xfId="0" applyNumberFormat="1" applyFont="1" applyFill="1" applyBorder="1" applyAlignment="1">
      <alignment horizontal="center" vertical="center"/>
    </xf>
    <xf fontId="3" fillId="3" borderId="1" numFmtId="164" xfId="0" applyNumberFormat="1" applyFont="1" applyFill="1" applyBorder="1" applyAlignment="1">
      <alignment horizontal="center" vertical="center"/>
    </xf>
    <xf fontId="0" fillId="8" borderId="1" numFmtId="164" xfId="0" applyNumberFormat="1" applyFill="1" applyBorder="1" applyAlignment="1">
      <alignment horizontal="center" vertical="center"/>
    </xf>
    <xf fontId="3" fillId="10" borderId="1" numFmtId="0" xfId="0" applyFont="1" applyFill="1" applyBorder="1" applyAlignment="1">
      <alignment horizontal="center" vertical="center"/>
    </xf>
    <xf fontId="3" fillId="10" borderId="1" numFmtId="0" xfId="0" applyFont="1" applyFill="1" applyBorder="1" applyAlignment="1">
      <alignment horizontal="left" vertical="center"/>
    </xf>
    <xf fontId="0" fillId="8" borderId="1" numFmtId="0" xfId="0" applyFill="1" applyBorder="1" applyAlignment="1">
      <alignment horizontal="left" vertical="center" wrapText="1"/>
    </xf>
    <xf fontId="0" fillId="8" borderId="0" numFmtId="164" xfId="0" applyNumberFormat="1" applyFill="1" applyAlignment="1">
      <alignment horizontal="center" vertical="center"/>
    </xf>
    <xf fontId="4" fillId="6" borderId="2" numFmtId="0" xfId="0" applyFont="1" applyFill="1" applyBorder="1" applyAlignment="1">
      <alignment horizontal="left" vertical="center"/>
    </xf>
    <xf fontId="2" fillId="7" borderId="1" numFmtId="0" xfId="0" applyFont="1" applyFill="1" applyBorder="1" applyAlignment="1">
      <alignment horizontal="left" vertical="center"/>
    </xf>
    <xf fontId="3" fillId="3" borderId="2" numFmtId="0" xfId="0" applyFont="1" applyFill="1" applyBorder="1" applyAlignment="1">
      <alignment horizontal="left" vertical="center" wrapText="1"/>
    </xf>
    <xf fontId="3" fillId="8" borderId="2" numFmtId="0" xfId="0" applyFont="1" applyFill="1" applyBorder="1" applyAlignment="1">
      <alignment horizontal="left" vertical="center" wrapText="1"/>
    </xf>
    <xf fontId="3" fillId="10" borderId="1" numFmtId="164" xfId="0" applyNumberFormat="1" applyFont="1" applyFill="1" applyBorder="1" applyAlignment="1">
      <alignment horizontal="center" vertical="center"/>
    </xf>
    <xf fontId="3" fillId="10" borderId="1" numFmtId="0" xfId="0" applyFont="1" applyFill="1" applyBorder="1" applyAlignment="1">
      <alignment horizontal="left" vertical="center" wrapText="1"/>
    </xf>
    <xf fontId="6" fillId="2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6" zoomScale="100" workbookViewId="0">
      <selection activeCell="A1" activeCellId="0" sqref="A1:F1"/>
    </sheetView>
  </sheetViews>
  <sheetFormatPr baseColWidth="10" defaultColWidth="8.6640625" defaultRowHeight="14.4"/>
  <cols>
    <col customWidth="1" min="1" max="1" width="8"/>
    <col customWidth="1" min="2" max="2" width="12"/>
    <col customWidth="1" min="3" max="3" width="35"/>
    <col customWidth="1" min="4" max="4" width="14"/>
    <col customWidth="1" min="5" max="5" width="42"/>
    <col customWidth="1" min="6" max="6" width="18"/>
  </cols>
  <sheetData>
    <row r="1" ht="36" customHeight="1">
      <c r="A1" s="1" t="s">
        <v>0</v>
      </c>
      <c r="B1" s="1"/>
      <c r="C1" s="1"/>
      <c r="D1" s="1"/>
      <c r="E1" s="1"/>
      <c r="F1" s="1"/>
    </row>
    <row r="3" ht="18" customHeight="1">
      <c r="A3" s="2" t="s">
        <v>1</v>
      </c>
      <c r="B3" s="3" t="s">
        <v>2</v>
      </c>
      <c r="D3" s="2" t="s">
        <v>3</v>
      </c>
      <c r="E3" s="4">
        <v>46175</v>
      </c>
    </row>
    <row r="4" ht="18" customHeight="1">
      <c r="A4" s="2" t="s">
        <v>4</v>
      </c>
      <c r="B4" s="3" t="s">
        <v>5</v>
      </c>
      <c r="D4" s="2" t="s">
        <v>6</v>
      </c>
      <c r="E4" s="4">
        <v>46230</v>
      </c>
    </row>
    <row r="5" ht="18" customHeight="1">
      <c r="A5" s="2" t="s">
        <v>7</v>
      </c>
      <c r="B5" s="3" t="s">
        <v>8</v>
      </c>
      <c r="D5" s="2" t="s">
        <v>9</v>
      </c>
      <c r="E5" s="3">
        <v>40</v>
      </c>
    </row>
    <row r="6" ht="18" customHeight="1">
      <c r="A6" s="2"/>
      <c r="B6" s="3"/>
      <c r="D6" s="2" t="s">
        <v>10</v>
      </c>
      <c r="E6" s="3">
        <v>40</v>
      </c>
    </row>
    <row r="7" ht="6" customHeight="1"/>
    <row r="8" ht="30" customHeight="1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</row>
    <row r="9" ht="21.75" customHeight="1">
      <c r="A9" s="6">
        <v>1</v>
      </c>
      <c r="B9" s="7" t="s">
        <v>17</v>
      </c>
      <c r="C9" s="7" t="s">
        <v>18</v>
      </c>
      <c r="D9" s="8">
        <v>3</v>
      </c>
      <c r="E9" s="9" t="s">
        <v>19</v>
      </c>
      <c r="F9" s="10" t="s">
        <v>8</v>
      </c>
    </row>
    <row r="10" ht="21.75" customHeight="1">
      <c r="A10" s="6">
        <v>2</v>
      </c>
      <c r="B10" s="7" t="s">
        <v>20</v>
      </c>
      <c r="C10" s="7" t="s">
        <v>21</v>
      </c>
      <c r="D10" s="8">
        <v>3</v>
      </c>
      <c r="E10" s="9" t="s">
        <v>22</v>
      </c>
      <c r="F10" s="10" t="s">
        <v>8</v>
      </c>
    </row>
    <row r="11" ht="21.75" customHeight="1">
      <c r="A11" s="11">
        <v>3</v>
      </c>
      <c r="B11" s="12" t="s">
        <v>23</v>
      </c>
      <c r="C11" s="12" t="s">
        <v>24</v>
      </c>
      <c r="D11" s="13" t="s">
        <v>25</v>
      </c>
      <c r="E11" s="14" t="s">
        <v>26</v>
      </c>
      <c r="F11" s="15" t="s">
        <v>8</v>
      </c>
    </row>
    <row r="12" ht="21.75" customHeight="1">
      <c r="A12" s="16">
        <v>4</v>
      </c>
      <c r="B12" s="17" t="s">
        <v>27</v>
      </c>
      <c r="C12" s="17" t="s">
        <v>28</v>
      </c>
      <c r="D12" s="18">
        <v>2</v>
      </c>
      <c r="E12" s="19" t="s">
        <v>29</v>
      </c>
      <c r="F12" s="20" t="s">
        <v>8</v>
      </c>
    </row>
    <row r="13" ht="21.75" customHeight="1">
      <c r="A13" s="11">
        <v>5</v>
      </c>
      <c r="B13" s="12" t="s">
        <v>30</v>
      </c>
      <c r="C13" s="12" t="s">
        <v>31</v>
      </c>
      <c r="D13" s="13" t="s">
        <v>25</v>
      </c>
      <c r="E13" s="14" t="s">
        <v>32</v>
      </c>
      <c r="F13" s="15" t="s">
        <v>8</v>
      </c>
    </row>
    <row r="14" ht="21.75" customHeight="1">
      <c r="A14" s="16">
        <v>6</v>
      </c>
      <c r="B14" s="17" t="s">
        <v>33</v>
      </c>
      <c r="C14" s="17" t="s">
        <v>34</v>
      </c>
      <c r="D14" s="18">
        <v>3</v>
      </c>
      <c r="E14" s="19" t="s">
        <v>35</v>
      </c>
      <c r="F14" s="20" t="s">
        <v>8</v>
      </c>
    </row>
    <row r="15" ht="21.75" customHeight="1">
      <c r="A15" s="16">
        <v>7</v>
      </c>
      <c r="B15" s="17" t="s">
        <v>36</v>
      </c>
      <c r="C15" s="17" t="s">
        <v>37</v>
      </c>
      <c r="D15" s="18" t="s">
        <v>25</v>
      </c>
      <c r="E15" s="19" t="s">
        <v>38</v>
      </c>
      <c r="F15" s="20" t="s">
        <v>8</v>
      </c>
    </row>
    <row r="16" ht="21.75" customHeight="1">
      <c r="A16" s="8">
        <v>8</v>
      </c>
      <c r="B16" s="10" t="s">
        <v>39</v>
      </c>
      <c r="C16" s="10" t="s">
        <v>40</v>
      </c>
      <c r="D16" s="8">
        <v>3</v>
      </c>
      <c r="E16" s="9" t="s">
        <v>41</v>
      </c>
      <c r="F16" s="10" t="s">
        <v>8</v>
      </c>
    </row>
    <row r="17" ht="21.75" customHeight="1">
      <c r="A17" s="8">
        <v>9</v>
      </c>
      <c r="B17" s="10" t="s">
        <v>42</v>
      </c>
      <c r="C17" s="10" t="s">
        <v>43</v>
      </c>
      <c r="D17" s="8">
        <v>4</v>
      </c>
      <c r="E17" s="9" t="s">
        <v>44</v>
      </c>
      <c r="F17" s="10" t="s">
        <v>8</v>
      </c>
    </row>
    <row r="18" ht="21.75" customHeight="1">
      <c r="A18" s="8">
        <v>10</v>
      </c>
      <c r="B18" s="10" t="s">
        <v>45</v>
      </c>
      <c r="C18" s="10" t="s">
        <v>46</v>
      </c>
      <c r="D18" s="8">
        <v>4</v>
      </c>
      <c r="E18" s="9" t="s">
        <v>47</v>
      </c>
      <c r="F18" s="10" t="s">
        <v>8</v>
      </c>
    </row>
    <row r="19" ht="21.75" customHeight="1">
      <c r="A19" s="8">
        <v>11</v>
      </c>
      <c r="B19" s="10" t="s">
        <v>48</v>
      </c>
      <c r="C19" s="10" t="s">
        <v>49</v>
      </c>
      <c r="D19" s="8">
        <v>3</v>
      </c>
      <c r="E19" s="9" t="s">
        <v>50</v>
      </c>
      <c r="F19" s="10" t="s">
        <v>8</v>
      </c>
    </row>
    <row r="20" ht="21.75" customHeight="1">
      <c r="A20" s="8">
        <v>12</v>
      </c>
      <c r="B20" s="10" t="s">
        <v>51</v>
      </c>
      <c r="C20" s="10" t="s">
        <v>52</v>
      </c>
      <c r="D20" s="8">
        <v>4</v>
      </c>
      <c r="E20" s="9" t="s">
        <v>53</v>
      </c>
      <c r="F20" s="10" t="s">
        <v>8</v>
      </c>
    </row>
    <row r="21" ht="21.75" customHeight="1">
      <c r="A21" s="8">
        <v>13</v>
      </c>
      <c r="B21" s="10" t="s">
        <v>54</v>
      </c>
      <c r="C21" s="10" t="s">
        <v>55</v>
      </c>
      <c r="D21" s="8">
        <v>4</v>
      </c>
      <c r="E21" s="9" t="s">
        <v>56</v>
      </c>
      <c r="F21" s="10" t="s">
        <v>8</v>
      </c>
    </row>
    <row r="22" ht="21.75" customHeight="1">
      <c r="A22" s="8">
        <v>14</v>
      </c>
      <c r="B22" s="10" t="s">
        <v>57</v>
      </c>
      <c r="C22" s="10" t="s">
        <v>58</v>
      </c>
      <c r="D22" s="8">
        <v>2</v>
      </c>
      <c r="E22" s="9" t="s">
        <v>59</v>
      </c>
      <c r="F22" s="10" t="s">
        <v>8</v>
      </c>
    </row>
    <row r="23" ht="21.75" customHeight="1">
      <c r="A23" s="11">
        <v>15</v>
      </c>
      <c r="B23" s="12" t="s">
        <v>60</v>
      </c>
      <c r="C23" s="12" t="s">
        <v>61</v>
      </c>
      <c r="D23" s="13" t="s">
        <v>25</v>
      </c>
      <c r="E23" s="14" t="s">
        <v>62</v>
      </c>
      <c r="F23" s="15" t="s">
        <v>8</v>
      </c>
    </row>
    <row r="24" ht="21.75" customHeight="1">
      <c r="A24" s="16">
        <v>16</v>
      </c>
      <c r="B24" s="17" t="s">
        <v>63</v>
      </c>
      <c r="C24" s="17" t="s">
        <v>64</v>
      </c>
      <c r="D24" s="18" t="s">
        <v>25</v>
      </c>
      <c r="E24" s="19" t="s">
        <v>65</v>
      </c>
      <c r="F24" s="20" t="s">
        <v>8</v>
      </c>
    </row>
    <row r="25" ht="21.75" customHeight="1">
      <c r="A25" s="8">
        <v>17</v>
      </c>
      <c r="B25" s="10" t="s">
        <v>66</v>
      </c>
      <c r="C25" s="10" t="s">
        <v>67</v>
      </c>
      <c r="D25" s="8">
        <v>2</v>
      </c>
      <c r="E25" s="9" t="s">
        <v>68</v>
      </c>
      <c r="F25" s="10" t="s">
        <v>8</v>
      </c>
    </row>
    <row r="26" ht="21.75" customHeight="1">
      <c r="A26" s="8">
        <v>18</v>
      </c>
      <c r="B26" s="10" t="s">
        <v>69</v>
      </c>
      <c r="C26" s="10" t="s">
        <v>70</v>
      </c>
      <c r="D26" s="8">
        <v>2</v>
      </c>
      <c r="E26" s="9" t="s">
        <v>71</v>
      </c>
      <c r="F26" s="10" t="s">
        <v>8</v>
      </c>
    </row>
    <row r="27" ht="21.75" customHeight="1">
      <c r="A27" s="11">
        <v>19</v>
      </c>
      <c r="B27" s="12" t="s">
        <v>72</v>
      </c>
      <c r="C27" s="12" t="s">
        <v>73</v>
      </c>
      <c r="D27" s="13" t="s">
        <v>25</v>
      </c>
      <c r="E27" s="14" t="s">
        <v>74</v>
      </c>
      <c r="F27" s="15" t="s">
        <v>8</v>
      </c>
    </row>
    <row r="28" ht="21.75" customHeight="1">
      <c r="A28" s="6">
        <v>20</v>
      </c>
      <c r="B28" s="7" t="s">
        <v>75</v>
      </c>
      <c r="C28" s="7" t="s">
        <v>76</v>
      </c>
      <c r="D28" s="8">
        <v>1</v>
      </c>
      <c r="E28" s="9" t="s">
        <v>77</v>
      </c>
      <c r="F28" s="10" t="s">
        <v>8</v>
      </c>
    </row>
    <row r="29" ht="21.75" customHeight="1">
      <c r="A29" s="6">
        <v>21</v>
      </c>
      <c r="B29" s="7" t="s">
        <v>78</v>
      </c>
      <c r="C29" s="7" t="s">
        <v>79</v>
      </c>
      <c r="D29" s="8">
        <v>1</v>
      </c>
      <c r="E29" s="9" t="s">
        <v>80</v>
      </c>
      <c r="F29" s="10" t="s">
        <v>8</v>
      </c>
    </row>
    <row r="30" ht="21.75" customHeight="1">
      <c r="A30" s="11">
        <v>22</v>
      </c>
      <c r="B30" s="12" t="s">
        <v>81</v>
      </c>
      <c r="C30" s="12" t="s">
        <v>82</v>
      </c>
      <c r="D30" s="13" t="s">
        <v>83</v>
      </c>
      <c r="E30" s="14" t="s">
        <v>84</v>
      </c>
      <c r="F30" s="15" t="s">
        <v>8</v>
      </c>
    </row>
    <row r="31" ht="21.75" customHeight="1">
      <c r="A31" s="11">
        <v>23</v>
      </c>
      <c r="B31" s="12" t="s">
        <v>85</v>
      </c>
      <c r="C31" s="12" t="s">
        <v>86</v>
      </c>
      <c r="D31" s="13" t="s">
        <v>25</v>
      </c>
      <c r="E31" s="14" t="s">
        <v>87</v>
      </c>
      <c r="F31" s="15" t="s">
        <v>8</v>
      </c>
    </row>
    <row r="32" ht="21.75" customHeight="1">
      <c r="A32" s="21" t="s">
        <v>88</v>
      </c>
      <c r="B32" s="21"/>
      <c r="C32" s="21"/>
      <c r="D32" s="22">
        <v>40</v>
      </c>
      <c r="E32" s="23"/>
      <c r="F32" s="23"/>
    </row>
  </sheetData>
  <mergeCells count="2">
    <mergeCell ref="A1:F1"/>
    <mergeCell ref="A32:C32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93" zoomScale="100" workbookViewId="0">
      <selection activeCell="E9" activeCellId="0" sqref="E9"/>
    </sheetView>
  </sheetViews>
  <sheetFormatPr baseColWidth="10" defaultColWidth="8.6640625" defaultRowHeight="14.25"/>
  <cols>
    <col customWidth="1" min="1" max="1" width="16"/>
    <col customWidth="1" min="2" max="2" width="60"/>
  </cols>
  <sheetData>
    <row r="1" ht="17.25" customHeight="1">
      <c r="A1" s="24" t="s">
        <v>89</v>
      </c>
      <c r="B1" s="24"/>
    </row>
    <row r="3" ht="15" customHeight="1">
      <c r="A3" s="25" t="s">
        <v>1</v>
      </c>
      <c r="B3" s="26" t="s">
        <v>2</v>
      </c>
    </row>
    <row r="4" ht="15" customHeight="1">
      <c r="A4" s="25" t="s">
        <v>4</v>
      </c>
      <c r="B4" s="26" t="s">
        <v>5</v>
      </c>
    </row>
    <row r="5" ht="15" customHeight="1">
      <c r="A5" s="25" t="s">
        <v>7</v>
      </c>
      <c r="B5" s="26" t="s">
        <v>8</v>
      </c>
    </row>
    <row r="7" ht="19.5" customHeight="1">
      <c r="A7" s="27" t="s">
        <v>90</v>
      </c>
      <c r="B7" s="28" t="s">
        <v>39</v>
      </c>
    </row>
    <row r="8" ht="19.5" customHeight="1">
      <c r="A8" s="27" t="s">
        <v>91</v>
      </c>
      <c r="B8" s="28" t="s">
        <v>40</v>
      </c>
    </row>
    <row r="9" ht="60" customHeight="1">
      <c r="A9" s="27" t="s">
        <v>92</v>
      </c>
      <c r="B9" s="28" t="s">
        <v>93</v>
      </c>
    </row>
    <row r="10" ht="39.75" customHeight="1">
      <c r="A10" s="27" t="s">
        <v>94</v>
      </c>
      <c r="B10" s="28" t="s">
        <v>95</v>
      </c>
    </row>
    <row r="11" ht="39.75" customHeight="1">
      <c r="A11" s="27" t="s">
        <v>96</v>
      </c>
      <c r="B11" s="28" t="s">
        <v>97</v>
      </c>
    </row>
    <row r="12" ht="33.5" customHeight="1">
      <c r="A12" s="27" t="s">
        <v>98</v>
      </c>
      <c r="B12" s="28" t="s">
        <v>99</v>
      </c>
    </row>
    <row r="13" ht="19.5" customHeight="1">
      <c r="A13" s="27" t="s">
        <v>100</v>
      </c>
      <c r="B13" s="28" t="s">
        <v>101</v>
      </c>
    </row>
    <row r="14" ht="19.5" customHeight="1">
      <c r="A14" s="27" t="s">
        <v>102</v>
      </c>
      <c r="B14" s="29">
        <v>46170</v>
      </c>
    </row>
    <row r="15" ht="19.5" customHeight="1">
      <c r="A15" s="27" t="s">
        <v>103</v>
      </c>
      <c r="B15" s="28" t="s">
        <v>104</v>
      </c>
    </row>
    <row r="16" ht="19.5" customHeight="1">
      <c r="A16" s="27" t="s">
        <v>105</v>
      </c>
      <c r="B16" s="30">
        <v>46171</v>
      </c>
    </row>
    <row r="17" ht="19.5" customHeight="1">
      <c r="A17" s="27" t="s">
        <v>106</v>
      </c>
      <c r="B17" s="31"/>
    </row>
    <row r="18" ht="7.5" customHeight="1">
      <c r="A18" s="32"/>
      <c r="B18" s="32"/>
    </row>
    <row r="19" ht="37.799999999999997" customHeight="1">
      <c r="A19" s="27" t="s">
        <v>90</v>
      </c>
      <c r="B19" s="28" t="s">
        <v>42</v>
      </c>
    </row>
    <row r="20" ht="19.5" customHeight="1">
      <c r="A20" s="27" t="s">
        <v>91</v>
      </c>
      <c r="B20" s="28" t="s">
        <v>43</v>
      </c>
    </row>
    <row r="21" ht="43.799999999999997" customHeight="1">
      <c r="A21" s="27" t="s">
        <v>92</v>
      </c>
      <c r="B21" s="28" t="s">
        <v>107</v>
      </c>
    </row>
    <row r="22" ht="39.75" customHeight="1">
      <c r="A22" s="27" t="s">
        <v>94</v>
      </c>
      <c r="B22" s="28" t="s">
        <v>108</v>
      </c>
    </row>
    <row r="23" ht="39.75" customHeight="1">
      <c r="A23" s="27" t="s">
        <v>96</v>
      </c>
      <c r="B23" s="28" t="s">
        <v>109</v>
      </c>
    </row>
    <row r="24" ht="39.75" customHeight="1">
      <c r="A24" s="27" t="s">
        <v>98</v>
      </c>
      <c r="B24" s="28" t="s">
        <v>110</v>
      </c>
    </row>
    <row r="25" ht="19.5" customHeight="1">
      <c r="A25" s="27" t="s">
        <v>100</v>
      </c>
      <c r="B25" s="28" t="s">
        <v>111</v>
      </c>
    </row>
    <row r="26" ht="19.5" customHeight="1">
      <c r="A26" s="27" t="s">
        <v>102</v>
      </c>
      <c r="B26" s="29">
        <v>46174</v>
      </c>
    </row>
    <row r="27" ht="19.5" customHeight="1">
      <c r="A27" s="27" t="s">
        <v>103</v>
      </c>
      <c r="B27" s="28" t="s">
        <v>104</v>
      </c>
    </row>
    <row r="28" ht="19.5" customHeight="1">
      <c r="A28" s="27" t="s">
        <v>105</v>
      </c>
      <c r="B28" s="29">
        <v>46177</v>
      </c>
    </row>
    <row r="29" ht="19.5" customHeight="1">
      <c r="A29" s="27" t="s">
        <v>106</v>
      </c>
      <c r="B29" s="31"/>
    </row>
    <row r="30" ht="7.5" customHeight="1">
      <c r="A30" s="32"/>
      <c r="B30" s="32"/>
    </row>
    <row r="31" ht="19.5" customHeight="1">
      <c r="A31" s="27" t="s">
        <v>90</v>
      </c>
      <c r="B31" s="28" t="s">
        <v>45</v>
      </c>
    </row>
    <row r="32" ht="19.5" customHeight="1">
      <c r="A32" s="27" t="s">
        <v>91</v>
      </c>
      <c r="B32" s="28" t="s">
        <v>46</v>
      </c>
    </row>
    <row r="33" ht="56.399999999999999" customHeight="1">
      <c r="A33" s="27" t="s">
        <v>92</v>
      </c>
      <c r="B33" s="28" t="s">
        <v>112</v>
      </c>
    </row>
    <row r="34" ht="39.75" customHeight="1">
      <c r="A34" s="27" t="s">
        <v>94</v>
      </c>
      <c r="B34" s="28" t="s">
        <v>113</v>
      </c>
    </row>
    <row r="35" ht="39.75" customHeight="1">
      <c r="A35" s="27" t="s">
        <v>96</v>
      </c>
      <c r="B35" s="28" t="s">
        <v>114</v>
      </c>
    </row>
    <row r="36" ht="39.75" customHeight="1">
      <c r="A36" s="27" t="s">
        <v>98</v>
      </c>
      <c r="B36" s="28" t="s">
        <v>115</v>
      </c>
    </row>
    <row r="37" ht="19.5" customHeight="1">
      <c r="A37" s="27" t="s">
        <v>100</v>
      </c>
      <c r="B37" s="28" t="s">
        <v>111</v>
      </c>
    </row>
    <row r="38" ht="19.5" customHeight="1">
      <c r="A38" s="27" t="s">
        <v>102</v>
      </c>
      <c r="B38" s="29">
        <v>46178</v>
      </c>
    </row>
    <row r="39" ht="19.5" customHeight="1">
      <c r="A39" s="27" t="s">
        <v>103</v>
      </c>
      <c r="B39" s="28" t="s">
        <v>104</v>
      </c>
    </row>
    <row r="40" ht="19.5" customHeight="1">
      <c r="A40" s="27" t="s">
        <v>105</v>
      </c>
      <c r="B40" s="30">
        <v>46180</v>
      </c>
    </row>
    <row r="41" ht="19.5" customHeight="1">
      <c r="A41" s="27" t="s">
        <v>106</v>
      </c>
      <c r="B41" s="31"/>
    </row>
    <row r="42" ht="7.5" customHeight="1">
      <c r="A42" s="32"/>
      <c r="B42" s="32"/>
    </row>
    <row r="43" ht="36" customHeight="1">
      <c r="A43" s="27" t="s">
        <v>90</v>
      </c>
      <c r="B43" s="28" t="s">
        <v>48</v>
      </c>
    </row>
    <row r="44" ht="19.5" customHeight="1">
      <c r="A44" s="27" t="s">
        <v>91</v>
      </c>
      <c r="B44" s="28" t="s">
        <v>49</v>
      </c>
    </row>
    <row r="45" ht="46.799999999999997" customHeight="1">
      <c r="A45" s="27" t="s">
        <v>92</v>
      </c>
      <c r="B45" s="28" t="s">
        <v>116</v>
      </c>
    </row>
    <row r="46" ht="39.75" customHeight="1">
      <c r="A46" s="27" t="s">
        <v>94</v>
      </c>
      <c r="B46" s="28" t="s">
        <v>117</v>
      </c>
    </row>
    <row r="47" ht="39.75" customHeight="1">
      <c r="A47" s="27" t="s">
        <v>96</v>
      </c>
      <c r="B47" s="28" t="s">
        <v>118</v>
      </c>
    </row>
    <row r="48" ht="39.75" customHeight="1">
      <c r="A48" s="27" t="s">
        <v>98</v>
      </c>
      <c r="B48" s="28" t="s">
        <v>119</v>
      </c>
    </row>
    <row r="49" ht="19.5" customHeight="1">
      <c r="A49" s="27" t="s">
        <v>100</v>
      </c>
      <c r="B49" s="28" t="s">
        <v>101</v>
      </c>
    </row>
    <row r="50" ht="19.5" customHeight="1">
      <c r="A50" s="27" t="s">
        <v>102</v>
      </c>
      <c r="B50" s="29">
        <v>46180</v>
      </c>
    </row>
    <row r="51" ht="19.5" customHeight="1">
      <c r="A51" s="27" t="s">
        <v>103</v>
      </c>
      <c r="B51" s="28" t="s">
        <v>104</v>
      </c>
    </row>
    <row r="52" ht="19.5" customHeight="1">
      <c r="A52" s="27" t="s">
        <v>105</v>
      </c>
      <c r="B52" s="29">
        <v>46181</v>
      </c>
    </row>
    <row r="53" ht="19.5" customHeight="1">
      <c r="A53" s="27" t="s">
        <v>106</v>
      </c>
      <c r="B53" s="31"/>
    </row>
    <row r="54" ht="7.5" customHeight="1">
      <c r="A54" s="32"/>
      <c r="B54" s="32"/>
    </row>
    <row r="55" ht="19.5" customHeight="1">
      <c r="A55" s="27" t="s">
        <v>90</v>
      </c>
      <c r="B55" s="28" t="s">
        <v>51</v>
      </c>
    </row>
    <row r="56" ht="19.5" customHeight="1">
      <c r="A56" s="27" t="s">
        <v>91</v>
      </c>
      <c r="B56" s="28" t="s">
        <v>52</v>
      </c>
    </row>
    <row r="57" ht="60" customHeight="1">
      <c r="A57" s="27" t="s">
        <v>92</v>
      </c>
      <c r="B57" s="28" t="s">
        <v>120</v>
      </c>
    </row>
    <row r="58" ht="39.75" customHeight="1">
      <c r="A58" s="27" t="s">
        <v>94</v>
      </c>
      <c r="B58" s="28" t="s">
        <v>121</v>
      </c>
    </row>
    <row r="59" ht="39.75" customHeight="1">
      <c r="A59" s="27" t="s">
        <v>96</v>
      </c>
      <c r="B59" s="28" t="s">
        <v>122</v>
      </c>
    </row>
    <row r="60" ht="39.75" customHeight="1">
      <c r="A60" s="27" t="s">
        <v>98</v>
      </c>
      <c r="B60" s="28" t="s">
        <v>123</v>
      </c>
    </row>
    <row r="61" ht="19.5" customHeight="1">
      <c r="A61" s="27" t="s">
        <v>100</v>
      </c>
      <c r="B61" s="28" t="s">
        <v>111</v>
      </c>
    </row>
    <row r="62" ht="19.5" customHeight="1">
      <c r="A62" s="27" t="s">
        <v>102</v>
      </c>
      <c r="B62" s="29">
        <v>46181</v>
      </c>
    </row>
    <row r="63" ht="19.5" customHeight="1">
      <c r="A63" s="27" t="s">
        <v>103</v>
      </c>
      <c r="B63" s="28" t="s">
        <v>104</v>
      </c>
    </row>
    <row r="64" ht="19.5" customHeight="1">
      <c r="A64" s="27" t="s">
        <v>105</v>
      </c>
      <c r="B64" s="30">
        <v>46182</v>
      </c>
    </row>
    <row r="65" ht="19.5" customHeight="1">
      <c r="A65" s="27" t="s">
        <v>106</v>
      </c>
      <c r="B65" s="31"/>
    </row>
    <row r="66" ht="7.5" customHeight="1">
      <c r="A66" s="32"/>
      <c r="B66" s="32"/>
    </row>
    <row r="67" ht="19.5" customHeight="1">
      <c r="A67" s="27" t="s">
        <v>90</v>
      </c>
      <c r="B67" s="28" t="s">
        <v>54</v>
      </c>
    </row>
    <row r="68" ht="19.5" customHeight="1">
      <c r="A68" s="27" t="s">
        <v>91</v>
      </c>
      <c r="B68" s="28" t="s">
        <v>55</v>
      </c>
    </row>
    <row r="69" ht="73.200000000000003" customHeight="1">
      <c r="A69" s="27" t="s">
        <v>92</v>
      </c>
      <c r="B69" s="28" t="s">
        <v>124</v>
      </c>
    </row>
    <row r="70" ht="39.75" customHeight="1">
      <c r="A70" s="27" t="s">
        <v>94</v>
      </c>
      <c r="B70" s="28" t="s">
        <v>125</v>
      </c>
    </row>
    <row r="71" ht="39.75" customHeight="1">
      <c r="A71" s="27" t="s">
        <v>96</v>
      </c>
      <c r="B71" s="28" t="s">
        <v>126</v>
      </c>
    </row>
    <row r="72" ht="39.75" customHeight="1">
      <c r="A72" s="27" t="s">
        <v>98</v>
      </c>
      <c r="B72" s="28" t="s">
        <v>127</v>
      </c>
    </row>
    <row r="73" ht="19.5" customHeight="1">
      <c r="A73" s="27" t="s">
        <v>100</v>
      </c>
      <c r="B73" s="28" t="s">
        <v>111</v>
      </c>
    </row>
    <row r="74" ht="19.5" customHeight="1">
      <c r="A74" s="27" t="s">
        <v>102</v>
      </c>
      <c r="B74" s="30">
        <v>46182</v>
      </c>
    </row>
    <row r="75" ht="19.5" customHeight="1">
      <c r="A75" s="27" t="s">
        <v>103</v>
      </c>
      <c r="B75" s="28" t="s">
        <v>104</v>
      </c>
    </row>
    <row r="76" ht="19.5" customHeight="1">
      <c r="A76" s="27" t="s">
        <v>105</v>
      </c>
      <c r="B76" s="30">
        <v>46183</v>
      </c>
    </row>
    <row r="77" ht="19.5" customHeight="1">
      <c r="A77" s="27" t="s">
        <v>106</v>
      </c>
      <c r="B77" s="31"/>
    </row>
    <row r="78" ht="7.5" customHeight="1">
      <c r="A78" s="32"/>
      <c r="B78" s="32"/>
    </row>
    <row r="79" ht="31.199999999999999" customHeight="1">
      <c r="A79" s="27" t="s">
        <v>90</v>
      </c>
      <c r="B79" s="28" t="s">
        <v>57</v>
      </c>
    </row>
    <row r="80" ht="19.5" customHeight="1">
      <c r="A80" s="27" t="s">
        <v>91</v>
      </c>
      <c r="B80" s="28" t="s">
        <v>58</v>
      </c>
    </row>
    <row r="81" ht="45" customHeight="1">
      <c r="A81" s="27" t="s">
        <v>92</v>
      </c>
      <c r="B81" s="28" t="s">
        <v>128</v>
      </c>
    </row>
    <row r="82" ht="39.75" customHeight="1">
      <c r="A82" s="27" t="s">
        <v>94</v>
      </c>
      <c r="B82" s="28" t="s">
        <v>129</v>
      </c>
    </row>
    <row r="83" ht="39.75" customHeight="1">
      <c r="A83" s="27" t="s">
        <v>96</v>
      </c>
      <c r="B83" s="28" t="s">
        <v>130</v>
      </c>
    </row>
    <row r="84" ht="39.75" customHeight="1">
      <c r="A84" s="27" t="s">
        <v>98</v>
      </c>
      <c r="B84" s="28" t="s">
        <v>131</v>
      </c>
    </row>
    <row r="85" ht="19.5" customHeight="1">
      <c r="A85" s="27" t="s">
        <v>100</v>
      </c>
      <c r="B85" s="28" t="s">
        <v>132</v>
      </c>
    </row>
    <row r="86" ht="19.5" customHeight="1">
      <c r="A86" s="27" t="s">
        <v>102</v>
      </c>
      <c r="B86" s="30">
        <v>46183</v>
      </c>
    </row>
    <row r="87" ht="19.5" customHeight="1">
      <c r="A87" s="27" t="s">
        <v>103</v>
      </c>
      <c r="B87" s="28" t="s">
        <v>104</v>
      </c>
    </row>
    <row r="88" ht="19.5" customHeight="1">
      <c r="A88" s="27" t="s">
        <v>105</v>
      </c>
      <c r="B88" s="30">
        <v>46184</v>
      </c>
    </row>
    <row r="89" ht="19.5" customHeight="1">
      <c r="A89" s="27" t="s">
        <v>106</v>
      </c>
      <c r="B89" s="31"/>
    </row>
    <row r="90" ht="7.5" customHeight="1">
      <c r="A90" s="32"/>
      <c r="B90" s="32"/>
    </row>
    <row r="91" ht="19.5" customHeight="1">
      <c r="A91" s="27" t="s">
        <v>90</v>
      </c>
      <c r="B91" s="28" t="s">
        <v>66</v>
      </c>
    </row>
    <row r="92" ht="19.5" customHeight="1">
      <c r="A92" s="27" t="s">
        <v>91</v>
      </c>
      <c r="B92" s="28" t="s">
        <v>67</v>
      </c>
    </row>
    <row r="93" ht="61.200000000000003" customHeight="1">
      <c r="A93" s="27" t="s">
        <v>92</v>
      </c>
      <c r="B93" s="28" t="s">
        <v>133</v>
      </c>
    </row>
    <row r="94" ht="39.75" customHeight="1">
      <c r="A94" s="27" t="s">
        <v>94</v>
      </c>
      <c r="B94" s="28" t="s">
        <v>134</v>
      </c>
    </row>
    <row r="95" ht="19.5" customHeight="1">
      <c r="A95" s="27" t="s">
        <v>96</v>
      </c>
      <c r="B95" s="28" t="s">
        <v>135</v>
      </c>
    </row>
    <row r="96" ht="42" customHeight="1">
      <c r="A96" s="27" t="s">
        <v>98</v>
      </c>
      <c r="B96" s="28" t="s">
        <v>136</v>
      </c>
    </row>
    <row r="97" ht="19.5" customHeight="1">
      <c r="A97" s="27" t="s">
        <v>100</v>
      </c>
      <c r="B97" s="28" t="s">
        <v>132</v>
      </c>
    </row>
    <row r="98" ht="19.5" customHeight="1">
      <c r="A98" s="27" t="s">
        <v>102</v>
      </c>
      <c r="B98" s="30">
        <v>46176</v>
      </c>
    </row>
    <row r="99" ht="19.5" customHeight="1">
      <c r="A99" s="27" t="s">
        <v>103</v>
      </c>
      <c r="B99" s="28" t="s">
        <v>137</v>
      </c>
    </row>
    <row r="100" ht="19.5" customHeight="1">
      <c r="A100" s="27" t="s">
        <v>105</v>
      </c>
      <c r="B100" s="31"/>
    </row>
    <row r="101" ht="19.5" customHeight="1">
      <c r="A101" s="27" t="s">
        <v>106</v>
      </c>
      <c r="B101" s="31"/>
    </row>
    <row r="102" ht="16.800000000000001" customHeight="1">
      <c r="A102" s="32"/>
      <c r="B102" s="32"/>
    </row>
    <row r="103" ht="19.5" customHeight="1">
      <c r="A103" s="27" t="s">
        <v>90</v>
      </c>
      <c r="B103" s="28" t="s">
        <v>69</v>
      </c>
    </row>
    <row r="104" ht="19.5" customHeight="1">
      <c r="A104" s="27" t="s">
        <v>91</v>
      </c>
      <c r="B104" s="28" t="s">
        <v>70</v>
      </c>
    </row>
    <row r="105" ht="43.799999999999997" customHeight="1">
      <c r="A105" s="27" t="s">
        <v>92</v>
      </c>
      <c r="B105" s="28" t="s">
        <v>138</v>
      </c>
    </row>
    <row r="106" ht="39.75" customHeight="1">
      <c r="A106" s="27" t="s">
        <v>94</v>
      </c>
      <c r="B106" s="28" t="s">
        <v>139</v>
      </c>
    </row>
    <row r="107" ht="19.5" customHeight="1">
      <c r="A107" s="27" t="s">
        <v>96</v>
      </c>
      <c r="B107" s="28" t="s">
        <v>140</v>
      </c>
    </row>
    <row r="108" ht="39.75" customHeight="1">
      <c r="A108" s="27" t="s">
        <v>98</v>
      </c>
      <c r="B108" s="28" t="s">
        <v>141</v>
      </c>
    </row>
    <row r="109" ht="19.5" customHeight="1">
      <c r="A109" s="27" t="s">
        <v>100</v>
      </c>
      <c r="B109" s="28" t="s">
        <v>132</v>
      </c>
    </row>
    <row r="110" ht="19.5" customHeight="1">
      <c r="A110" s="27" t="s">
        <v>102</v>
      </c>
      <c r="B110" s="29">
        <v>46182</v>
      </c>
    </row>
    <row r="111" ht="19.5" customHeight="1">
      <c r="A111" s="27" t="s">
        <v>103</v>
      </c>
      <c r="B111" s="28" t="s">
        <v>137</v>
      </c>
    </row>
    <row r="112" ht="19.5" customHeight="1">
      <c r="A112" s="27" t="s">
        <v>105</v>
      </c>
      <c r="B112" s="31"/>
    </row>
    <row r="113" ht="19.5" customHeight="1">
      <c r="A113" s="27" t="s">
        <v>106</v>
      </c>
      <c r="B113" s="31"/>
    </row>
    <row r="114" ht="7.5" customHeight="1">
      <c r="A114" s="32"/>
      <c r="B114" s="32"/>
    </row>
  </sheetData>
  <mergeCells count="10">
    <mergeCell ref="A1:B1"/>
    <mergeCell ref="A18:B18"/>
    <mergeCell ref="A30:B30"/>
    <mergeCell ref="A42:B42"/>
    <mergeCell ref="A54:B54"/>
    <mergeCell ref="A66:B66"/>
    <mergeCell ref="A78:B78"/>
    <mergeCell ref="A90:B90"/>
    <mergeCell ref="A102:B102"/>
    <mergeCell ref="A114:B114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9" zoomScale="100" workbookViewId="0">
      <selection activeCell="G18" activeCellId="0" sqref="G18"/>
    </sheetView>
  </sheetViews>
  <sheetFormatPr baseColWidth="10" defaultColWidth="8.6640625" defaultRowHeight="14.25"/>
  <cols>
    <col customWidth="1" min="1" max="1" width="7"/>
    <col customWidth="1" min="2" max="2" width="10"/>
    <col customWidth="1" min="3" max="3" width="44.44140625"/>
    <col customWidth="1" min="4" max="4" width="8"/>
    <col customWidth="1" min="5" max="7" width="12"/>
    <col customWidth="1" min="8" max="8" width="10"/>
    <col customWidth="1" min="9" max="9" width="12"/>
    <col customWidth="1" min="10" max="10" width="30"/>
  </cols>
  <sheetData>
    <row r="1" ht="17.25" customHeight="1">
      <c r="A1" s="24" t="s">
        <v>142</v>
      </c>
      <c r="B1" s="24"/>
      <c r="C1" s="24"/>
      <c r="D1" s="24"/>
      <c r="E1" s="24"/>
      <c r="F1" s="24"/>
      <c r="G1" s="24"/>
      <c r="H1" s="24"/>
      <c r="I1" s="24"/>
      <c r="J1" s="24"/>
    </row>
    <row r="3" ht="15" customHeight="1">
      <c r="A3" s="25" t="s">
        <v>1</v>
      </c>
      <c r="B3" s="26" t="s">
        <v>2</v>
      </c>
      <c r="D3" s="25" t="s">
        <v>3</v>
      </c>
      <c r="E3" s="33">
        <v>46168</v>
      </c>
    </row>
    <row r="4" ht="15" customHeight="1">
      <c r="A4" s="25" t="s">
        <v>4</v>
      </c>
      <c r="B4" s="26" t="s">
        <v>5</v>
      </c>
      <c r="D4" s="25" t="s">
        <v>6</v>
      </c>
      <c r="E4" s="33">
        <v>46220</v>
      </c>
    </row>
    <row r="5" ht="15" customHeight="1">
      <c r="A5" s="25" t="s">
        <v>7</v>
      </c>
      <c r="B5" s="26" t="s">
        <v>8</v>
      </c>
      <c r="D5" s="25" t="s">
        <v>9</v>
      </c>
      <c r="E5" s="26">
        <v>40</v>
      </c>
    </row>
    <row r="6" ht="15" customHeight="1">
      <c r="A6" s="25"/>
      <c r="B6" s="26"/>
      <c r="D6" s="25" t="s">
        <v>143</v>
      </c>
      <c r="E6" s="26">
        <v>40</v>
      </c>
    </row>
    <row r="7" ht="15" customHeight="1">
      <c r="A7" s="25"/>
      <c r="B7" s="26"/>
      <c r="D7" s="25" t="s">
        <v>144</v>
      </c>
      <c r="E7" s="26">
        <v>40</v>
      </c>
    </row>
    <row r="8" ht="15" customHeight="1">
      <c r="A8" s="25"/>
      <c r="B8" s="26"/>
      <c r="D8" s="25" t="s">
        <v>145</v>
      </c>
      <c r="E8" s="26">
        <f>E7-E6</f>
        <v>0</v>
      </c>
    </row>
    <row r="9" ht="30" customHeight="1">
      <c r="A9" s="5" t="s">
        <v>11</v>
      </c>
      <c r="B9" s="5" t="s">
        <v>12</v>
      </c>
      <c r="C9" s="5" t="s">
        <v>146</v>
      </c>
      <c r="D9" s="5" t="s">
        <v>147</v>
      </c>
      <c r="E9" s="5" t="s">
        <v>148</v>
      </c>
      <c r="F9" s="5" t="s">
        <v>149</v>
      </c>
      <c r="G9" s="5" t="s">
        <v>150</v>
      </c>
      <c r="H9" s="5" t="s">
        <v>151</v>
      </c>
      <c r="I9" s="5" t="s">
        <v>152</v>
      </c>
      <c r="J9" s="5" t="s">
        <v>153</v>
      </c>
    </row>
    <row r="10" ht="19.5" customHeight="1">
      <c r="A10" s="16">
        <v>1</v>
      </c>
      <c r="B10" s="17" t="s">
        <v>17</v>
      </c>
      <c r="C10" s="17" t="s">
        <v>18</v>
      </c>
      <c r="D10" s="18">
        <v>3</v>
      </c>
      <c r="E10" s="34">
        <v>46168</v>
      </c>
      <c r="F10" s="34">
        <v>46170</v>
      </c>
      <c r="G10" s="35">
        <v>46169</v>
      </c>
      <c r="H10" s="36">
        <f t="shared" ref="H10:H32" si="0">IF(ISBLANK(G10),"",G10-F10)</f>
        <v>-1</v>
      </c>
      <c r="I10" s="37" t="str">
        <f t="shared" ref="I10:I32" si="1">IF(ISBLANK(G10),"offen","fertig")</f>
        <v>fertig</v>
      </c>
      <c r="J10" s="19"/>
    </row>
    <row r="11" ht="19.5" customHeight="1">
      <c r="A11" s="16">
        <v>2</v>
      </c>
      <c r="B11" s="17" t="s">
        <v>20</v>
      </c>
      <c r="C11" s="17" t="s">
        <v>154</v>
      </c>
      <c r="D11" s="18">
        <v>3</v>
      </c>
      <c r="E11" s="34">
        <v>46168</v>
      </c>
      <c r="F11" s="34">
        <v>46170</v>
      </c>
      <c r="G11" s="35">
        <v>46170</v>
      </c>
      <c r="H11" s="36">
        <f t="shared" si="0"/>
        <v>0</v>
      </c>
      <c r="I11" s="37" t="str">
        <f t="shared" si="1"/>
        <v>fertig</v>
      </c>
      <c r="J11" s="19"/>
    </row>
    <row r="12" ht="19.5" customHeight="1">
      <c r="A12" s="11">
        <v>3</v>
      </c>
      <c r="B12" s="12" t="s">
        <v>23</v>
      </c>
      <c r="C12" s="12" t="s">
        <v>155</v>
      </c>
      <c r="D12" s="13" t="s">
        <v>25</v>
      </c>
      <c r="E12" s="38">
        <v>46171</v>
      </c>
      <c r="F12" s="38">
        <v>46171</v>
      </c>
      <c r="G12" s="35">
        <v>46171</v>
      </c>
      <c r="H12" s="36">
        <f t="shared" si="0"/>
        <v>0</v>
      </c>
      <c r="I12" s="37" t="str">
        <f t="shared" si="1"/>
        <v>fertig</v>
      </c>
      <c r="J12" s="14" t="s">
        <v>156</v>
      </c>
    </row>
    <row r="13" ht="19.5" customHeight="1">
      <c r="A13" s="16">
        <v>4</v>
      </c>
      <c r="B13" s="17" t="s">
        <v>27</v>
      </c>
      <c r="C13" s="17" t="s">
        <v>28</v>
      </c>
      <c r="D13" s="18">
        <v>2</v>
      </c>
      <c r="E13" s="34">
        <v>46171</v>
      </c>
      <c r="F13" s="34">
        <v>46174</v>
      </c>
      <c r="G13" s="35">
        <v>46171</v>
      </c>
      <c r="H13" s="36">
        <f t="shared" si="0"/>
        <v>-3</v>
      </c>
      <c r="I13" s="37" t="str">
        <f t="shared" si="1"/>
        <v>fertig</v>
      </c>
      <c r="J13" s="19"/>
    </row>
    <row r="14" ht="19.5" customHeight="1">
      <c r="A14" s="11">
        <v>5</v>
      </c>
      <c r="B14" s="12" t="s">
        <v>30</v>
      </c>
      <c r="C14" s="12" t="s">
        <v>31</v>
      </c>
      <c r="D14" s="13" t="s">
        <v>25</v>
      </c>
      <c r="E14" s="38">
        <v>46175</v>
      </c>
      <c r="F14" s="38">
        <v>46175</v>
      </c>
      <c r="G14" s="35">
        <v>46171</v>
      </c>
      <c r="H14" s="36">
        <f t="shared" si="0"/>
        <v>-4</v>
      </c>
      <c r="I14" s="37" t="str">
        <f t="shared" si="1"/>
        <v>fertig</v>
      </c>
      <c r="J14" s="14" t="s">
        <v>157</v>
      </c>
    </row>
    <row r="15" ht="19.5" customHeight="1">
      <c r="A15" s="16">
        <v>6</v>
      </c>
      <c r="B15" s="17" t="s">
        <v>33</v>
      </c>
      <c r="C15" s="17" t="s">
        <v>158</v>
      </c>
      <c r="D15" s="18">
        <v>3</v>
      </c>
      <c r="E15" s="34">
        <v>46175</v>
      </c>
      <c r="F15" s="34">
        <v>46178</v>
      </c>
      <c r="G15" s="35">
        <v>46172</v>
      </c>
      <c r="H15" s="36">
        <f t="shared" si="0"/>
        <v>-6</v>
      </c>
      <c r="I15" s="37" t="str">
        <f t="shared" si="1"/>
        <v>fertig</v>
      </c>
      <c r="J15" s="19"/>
    </row>
    <row r="16" ht="19.5" customHeight="1">
      <c r="A16" s="16">
        <v>7</v>
      </c>
      <c r="B16" s="17" t="s">
        <v>36</v>
      </c>
      <c r="C16" s="17" t="s">
        <v>37</v>
      </c>
      <c r="D16" s="18" t="s">
        <v>25</v>
      </c>
      <c r="E16" s="34">
        <v>46178</v>
      </c>
      <c r="F16" s="34">
        <v>46178</v>
      </c>
      <c r="G16" s="35">
        <v>46174</v>
      </c>
      <c r="H16" s="36">
        <f t="shared" si="0"/>
        <v>-4</v>
      </c>
      <c r="I16" s="37" t="str">
        <f t="shared" si="1"/>
        <v>fertig</v>
      </c>
      <c r="J16" s="19" t="s">
        <v>159</v>
      </c>
    </row>
    <row r="17" ht="19.5" customHeight="1">
      <c r="A17" s="8">
        <v>8</v>
      </c>
      <c r="B17" s="10" t="s">
        <v>39</v>
      </c>
      <c r="C17" s="10" t="s">
        <v>40</v>
      </c>
      <c r="D17" s="8">
        <v>3</v>
      </c>
      <c r="E17" s="39">
        <v>46178</v>
      </c>
      <c r="F17" s="39">
        <v>46182</v>
      </c>
      <c r="G17" s="35">
        <v>46171</v>
      </c>
      <c r="H17" s="36">
        <f t="shared" si="0"/>
        <v>-11</v>
      </c>
      <c r="I17" s="37" t="str">
        <f t="shared" si="1"/>
        <v>fertig</v>
      </c>
      <c r="J17" s="9"/>
    </row>
    <row r="18" ht="19.5" customHeight="1">
      <c r="A18" s="8">
        <v>9</v>
      </c>
      <c r="B18" s="10" t="s">
        <v>42</v>
      </c>
      <c r="C18" s="10" t="s">
        <v>43</v>
      </c>
      <c r="D18" s="8">
        <v>4</v>
      </c>
      <c r="E18" s="39">
        <v>46182</v>
      </c>
      <c r="F18" s="39">
        <v>46185</v>
      </c>
      <c r="G18" s="35">
        <v>46177</v>
      </c>
      <c r="H18" s="36">
        <f t="shared" si="0"/>
        <v>-8</v>
      </c>
      <c r="I18" s="37" t="str">
        <f t="shared" si="1"/>
        <v>fertig</v>
      </c>
      <c r="J18" s="9"/>
    </row>
    <row r="19" ht="19.5" customHeight="1">
      <c r="A19" s="8">
        <v>10</v>
      </c>
      <c r="B19" s="10" t="s">
        <v>45</v>
      </c>
      <c r="C19" s="10" t="s">
        <v>46</v>
      </c>
      <c r="D19" s="8">
        <v>4</v>
      </c>
      <c r="E19" s="39">
        <v>46185</v>
      </c>
      <c r="F19" s="39">
        <v>46190</v>
      </c>
      <c r="G19" s="35">
        <v>46180</v>
      </c>
      <c r="H19" s="36">
        <f t="shared" si="0"/>
        <v>-10</v>
      </c>
      <c r="I19" s="37" t="str">
        <f t="shared" si="1"/>
        <v>fertig</v>
      </c>
      <c r="J19" s="9"/>
    </row>
    <row r="20" ht="19.5" customHeight="1">
      <c r="A20" s="8">
        <v>11</v>
      </c>
      <c r="B20" s="10" t="s">
        <v>48</v>
      </c>
      <c r="C20" s="10" t="s">
        <v>49</v>
      </c>
      <c r="D20" s="8">
        <v>3</v>
      </c>
      <c r="E20" s="39">
        <v>46190</v>
      </c>
      <c r="F20" s="39">
        <v>46192</v>
      </c>
      <c r="G20" s="40">
        <v>46181</v>
      </c>
      <c r="H20" s="36">
        <f t="shared" si="0"/>
        <v>-11</v>
      </c>
      <c r="I20" s="37" t="str">
        <f t="shared" si="1"/>
        <v>fertig</v>
      </c>
      <c r="J20" s="9"/>
    </row>
    <row r="21" ht="19.5" customHeight="1">
      <c r="A21" s="8">
        <v>12</v>
      </c>
      <c r="B21" s="10" t="s">
        <v>51</v>
      </c>
      <c r="C21" s="10" t="s">
        <v>52</v>
      </c>
      <c r="D21" s="8">
        <v>4</v>
      </c>
      <c r="E21" s="39">
        <v>46192</v>
      </c>
      <c r="F21" s="39">
        <v>46198</v>
      </c>
      <c r="G21" s="35">
        <v>46182</v>
      </c>
      <c r="H21" s="36">
        <f t="shared" si="0"/>
        <v>-16</v>
      </c>
      <c r="I21" s="37" t="str">
        <f t="shared" si="1"/>
        <v>fertig</v>
      </c>
      <c r="J21" s="9" t="s">
        <v>160</v>
      </c>
    </row>
    <row r="22" ht="19.5" customHeight="1">
      <c r="A22" s="8">
        <v>13</v>
      </c>
      <c r="B22" s="10" t="s">
        <v>54</v>
      </c>
      <c r="C22" s="10" t="s">
        <v>55</v>
      </c>
      <c r="D22" s="8">
        <v>4</v>
      </c>
      <c r="E22" s="39">
        <v>46198</v>
      </c>
      <c r="F22" s="39">
        <v>46204</v>
      </c>
      <c r="G22" s="35">
        <v>46183</v>
      </c>
      <c r="H22" s="36">
        <f t="shared" si="0"/>
        <v>-21</v>
      </c>
      <c r="I22" s="37" t="str">
        <f t="shared" si="1"/>
        <v>fertig</v>
      </c>
      <c r="J22" s="9"/>
    </row>
    <row r="23" ht="19.5" customHeight="1">
      <c r="A23" s="8">
        <v>14</v>
      </c>
      <c r="B23" s="10" t="s">
        <v>57</v>
      </c>
      <c r="C23" s="10" t="s">
        <v>58</v>
      </c>
      <c r="D23" s="8">
        <v>2</v>
      </c>
      <c r="E23" s="39">
        <v>46204</v>
      </c>
      <c r="F23" s="39">
        <v>46206</v>
      </c>
      <c r="G23" s="35">
        <v>46184</v>
      </c>
      <c r="H23" s="36">
        <f t="shared" si="0"/>
        <v>-22</v>
      </c>
      <c r="I23" s="37" t="str">
        <f t="shared" si="1"/>
        <v>fertig</v>
      </c>
      <c r="J23" s="9"/>
    </row>
    <row r="24" ht="19.5" customHeight="1">
      <c r="A24" s="11">
        <v>15</v>
      </c>
      <c r="B24" s="12" t="s">
        <v>60</v>
      </c>
      <c r="C24" s="12" t="s">
        <v>161</v>
      </c>
      <c r="D24" s="13" t="s">
        <v>25</v>
      </c>
      <c r="E24" s="38">
        <v>46206</v>
      </c>
      <c r="F24" s="38">
        <v>46206</v>
      </c>
      <c r="G24" s="35"/>
      <c r="H24" s="36" t="str">
        <f t="shared" si="0"/>
        <v/>
      </c>
      <c r="I24" s="37" t="str">
        <f t="shared" si="1"/>
        <v>offen</v>
      </c>
      <c r="J24" s="14" t="s">
        <v>162</v>
      </c>
    </row>
    <row r="25" ht="19.5" customHeight="1">
      <c r="A25" s="16">
        <v>16</v>
      </c>
      <c r="B25" s="17" t="s">
        <v>63</v>
      </c>
      <c r="C25" s="17" t="s">
        <v>64</v>
      </c>
      <c r="D25" s="18" t="s">
        <v>25</v>
      </c>
      <c r="E25" s="34">
        <v>46206</v>
      </c>
      <c r="F25" s="34">
        <v>46206</v>
      </c>
      <c r="G25" s="35"/>
      <c r="H25" s="36" t="str">
        <f t="shared" si="0"/>
        <v/>
      </c>
      <c r="I25" s="37" t="str">
        <f t="shared" si="1"/>
        <v>offen</v>
      </c>
      <c r="J25" s="19"/>
    </row>
    <row r="26" ht="19.5" customHeight="1">
      <c r="A26" s="8">
        <v>17</v>
      </c>
      <c r="B26" s="10" t="s">
        <v>66</v>
      </c>
      <c r="C26" s="10" t="s">
        <v>163</v>
      </c>
      <c r="D26" s="8">
        <v>2</v>
      </c>
      <c r="E26" s="39">
        <v>46206</v>
      </c>
      <c r="F26" s="39">
        <v>46210</v>
      </c>
      <c r="G26" s="35"/>
      <c r="H26" s="36" t="str">
        <f t="shared" si="0"/>
        <v/>
      </c>
      <c r="I26" s="37" t="str">
        <f t="shared" si="1"/>
        <v>offen</v>
      </c>
      <c r="J26" s="9"/>
    </row>
    <row r="27" ht="19.5" customHeight="1">
      <c r="A27" s="8">
        <v>18</v>
      </c>
      <c r="B27" s="10" t="s">
        <v>69</v>
      </c>
      <c r="C27" s="10" t="s">
        <v>70</v>
      </c>
      <c r="D27" s="8">
        <v>2</v>
      </c>
      <c r="E27" s="39">
        <v>46210</v>
      </c>
      <c r="F27" s="39">
        <v>46212</v>
      </c>
      <c r="G27" s="35"/>
      <c r="H27" s="36" t="str">
        <f t="shared" si="0"/>
        <v/>
      </c>
      <c r="I27" s="37" t="str">
        <f t="shared" si="1"/>
        <v>offen</v>
      </c>
      <c r="J27" s="9"/>
    </row>
    <row r="28" ht="19.5" customHeight="1">
      <c r="A28" s="11">
        <v>19</v>
      </c>
      <c r="B28" s="12" t="s">
        <v>72</v>
      </c>
      <c r="C28" s="12" t="s">
        <v>73</v>
      </c>
      <c r="D28" s="13" t="s">
        <v>25</v>
      </c>
      <c r="E28" s="38">
        <v>46212</v>
      </c>
      <c r="F28" s="38">
        <v>46212</v>
      </c>
      <c r="G28" s="35"/>
      <c r="H28" s="36" t="str">
        <f t="shared" si="0"/>
        <v/>
      </c>
      <c r="I28" s="37" t="str">
        <f t="shared" si="1"/>
        <v>offen</v>
      </c>
      <c r="J28" s="14"/>
    </row>
    <row r="29" ht="19.5" customHeight="1">
      <c r="A29" s="16">
        <v>20</v>
      </c>
      <c r="B29" s="17" t="s">
        <v>75</v>
      </c>
      <c r="C29" s="17" t="s">
        <v>164</v>
      </c>
      <c r="D29" s="18">
        <v>1</v>
      </c>
      <c r="E29" s="34">
        <v>46212</v>
      </c>
      <c r="F29" s="34">
        <v>46213</v>
      </c>
      <c r="G29" s="35"/>
      <c r="H29" s="36" t="str">
        <f t="shared" si="0"/>
        <v/>
      </c>
      <c r="I29" s="37" t="str">
        <f t="shared" si="1"/>
        <v>offen</v>
      </c>
      <c r="J29" s="19"/>
    </row>
    <row r="30" ht="19.5" customHeight="1">
      <c r="A30" s="16">
        <v>21</v>
      </c>
      <c r="B30" s="17" t="s">
        <v>78</v>
      </c>
      <c r="C30" s="17" t="s">
        <v>79</v>
      </c>
      <c r="D30" s="18">
        <v>1</v>
      </c>
      <c r="E30" s="34">
        <v>46213</v>
      </c>
      <c r="F30" s="34">
        <v>46216</v>
      </c>
      <c r="G30" s="35"/>
      <c r="H30" s="36" t="str">
        <f t="shared" si="0"/>
        <v/>
      </c>
      <c r="I30" s="37" t="str">
        <f t="shared" si="1"/>
        <v>offen</v>
      </c>
      <c r="J30" s="19"/>
    </row>
    <row r="31" ht="19.5" customHeight="1">
      <c r="A31" s="11">
        <v>22</v>
      </c>
      <c r="B31" s="12" t="s">
        <v>81</v>
      </c>
      <c r="C31" s="12" t="s">
        <v>82</v>
      </c>
      <c r="D31" s="13">
        <v>1</v>
      </c>
      <c r="E31" s="38">
        <v>46216</v>
      </c>
      <c r="F31" s="38">
        <v>46217</v>
      </c>
      <c r="G31" s="35"/>
      <c r="H31" s="36" t="str">
        <f t="shared" si="0"/>
        <v/>
      </c>
      <c r="I31" s="37" t="str">
        <f t="shared" si="1"/>
        <v>offen</v>
      </c>
      <c r="J31" s="14" t="s">
        <v>165</v>
      </c>
    </row>
    <row r="32" ht="19.5" customHeight="1">
      <c r="A32" s="11">
        <v>23</v>
      </c>
      <c r="B32" s="12" t="s">
        <v>85</v>
      </c>
      <c r="C32" s="12" t="s">
        <v>166</v>
      </c>
      <c r="D32" s="13" t="s">
        <v>25</v>
      </c>
      <c r="E32" s="38">
        <v>46220</v>
      </c>
      <c r="F32" s="38">
        <v>46220</v>
      </c>
      <c r="G32" s="35"/>
      <c r="H32" s="36" t="str">
        <f t="shared" si="0"/>
        <v/>
      </c>
      <c r="I32" s="37" t="str">
        <f t="shared" si="1"/>
        <v>offen</v>
      </c>
      <c r="J32" s="14" t="s">
        <v>87</v>
      </c>
    </row>
    <row r="33" ht="21.75" customHeight="1">
      <c r="A33" s="21" t="s">
        <v>88</v>
      </c>
      <c r="B33" s="21"/>
      <c r="C33" s="21"/>
      <c r="D33" s="22">
        <v>40</v>
      </c>
      <c r="E33" s="23"/>
      <c r="F33" s="23"/>
      <c r="G33" s="23"/>
      <c r="H33" s="23"/>
      <c r="I33" s="23"/>
      <c r="J33" s="23"/>
    </row>
  </sheetData>
  <mergeCells count="2">
    <mergeCell ref="A1:J1"/>
    <mergeCell ref="A33:C33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:E1"/>
    </sheetView>
  </sheetViews>
  <sheetFormatPr baseColWidth="10" defaultColWidth="8.6640625" defaultRowHeight="14.25"/>
  <cols>
    <col customWidth="1" min="1" max="1" width="20.421875"/>
    <col customWidth="1" min="2" max="2" width="38"/>
    <col customWidth="1" min="3" max="3" width="14"/>
    <col customWidth="1" min="4" max="4" width="10"/>
    <col customWidth="1" min="5" max="5" width="32"/>
  </cols>
  <sheetData>
    <row r="1" ht="17.25" customHeight="1">
      <c r="A1" s="24" t="s">
        <v>167</v>
      </c>
      <c r="B1" s="24"/>
      <c r="C1" s="24"/>
      <c r="D1" s="24"/>
      <c r="E1" s="24"/>
    </row>
    <row r="3" ht="15" customHeight="1">
      <c r="A3" s="25" t="s">
        <v>1</v>
      </c>
      <c r="B3" s="26" t="s">
        <v>2</v>
      </c>
    </row>
    <row r="4" ht="15" customHeight="1">
      <c r="A4" s="25" t="s">
        <v>4</v>
      </c>
      <c r="B4" s="26" t="s">
        <v>5</v>
      </c>
    </row>
    <row r="5" ht="15" customHeight="1">
      <c r="A5" s="25" t="s">
        <v>7</v>
      </c>
      <c r="B5" s="26" t="s">
        <v>8</v>
      </c>
    </row>
    <row r="7" ht="24.75" customHeight="1">
      <c r="A7" s="5" t="s">
        <v>11</v>
      </c>
      <c r="B7" s="5" t="s">
        <v>168</v>
      </c>
      <c r="C7" s="5" t="s">
        <v>169</v>
      </c>
      <c r="D7" s="5" t="s">
        <v>152</v>
      </c>
      <c r="E7" s="5" t="s">
        <v>153</v>
      </c>
    </row>
    <row r="8" ht="19.5" customHeight="1">
      <c r="A8" s="41" t="s">
        <v>170</v>
      </c>
      <c r="B8" s="42" t="s">
        <v>171</v>
      </c>
      <c r="C8" s="35">
        <v>46176</v>
      </c>
      <c r="D8" s="37" t="str">
        <f t="shared" ref="D8:D9" si="2">IF(ISBLANK(C8),"offen","fertig")</f>
        <v>fertig</v>
      </c>
      <c r="E8" s="43"/>
    </row>
    <row r="9" ht="19.5" customHeight="1">
      <c r="A9" s="8" t="s">
        <v>172</v>
      </c>
      <c r="B9" s="10" t="s">
        <v>173</v>
      </c>
      <c r="C9" s="35">
        <v>46177</v>
      </c>
      <c r="D9" s="37" t="str">
        <f t="shared" si="2"/>
        <v>fertig</v>
      </c>
      <c r="E9" s="43"/>
    </row>
    <row r="10" ht="19.5" customHeight="1">
      <c r="A10" s="41" t="s">
        <v>174</v>
      </c>
      <c r="B10" s="42" t="s">
        <v>175</v>
      </c>
      <c r="C10" s="44">
        <v>46177</v>
      </c>
      <c r="D10" s="37" t="str">
        <f t="shared" ref="D10:D19" si="3">IF(ISBLANK(C10),"offen","fertig")</f>
        <v>fertig</v>
      </c>
      <c r="E10" s="43"/>
    </row>
    <row r="11" ht="19.5" customHeight="1">
      <c r="A11" s="8" t="s">
        <v>176</v>
      </c>
      <c r="B11" s="10" t="s">
        <v>177</v>
      </c>
      <c r="C11" s="35"/>
      <c r="D11" s="37" t="str">
        <f t="shared" si="3"/>
        <v>offen</v>
      </c>
      <c r="E11" s="43"/>
    </row>
    <row r="12" ht="19.5" customHeight="1">
      <c r="A12" s="41" t="s">
        <v>178</v>
      </c>
      <c r="B12" s="42" t="s">
        <v>179</v>
      </c>
      <c r="C12" s="35"/>
      <c r="D12" s="37" t="str">
        <f t="shared" si="3"/>
        <v>offen</v>
      </c>
      <c r="E12" s="43"/>
    </row>
    <row r="13" ht="19.5" customHeight="1">
      <c r="A13" s="8" t="s">
        <v>180</v>
      </c>
      <c r="B13" s="10" t="s">
        <v>181</v>
      </c>
      <c r="C13" s="35"/>
      <c r="D13" s="37" t="str">
        <f t="shared" si="3"/>
        <v>offen</v>
      </c>
      <c r="E13" s="43"/>
    </row>
    <row r="14" ht="19.5" customHeight="1">
      <c r="A14" s="41" t="s">
        <v>182</v>
      </c>
      <c r="B14" s="42" t="s">
        <v>183</v>
      </c>
      <c r="C14" s="35"/>
      <c r="D14" s="37" t="str">
        <f t="shared" si="3"/>
        <v>offen</v>
      </c>
      <c r="E14" s="43"/>
    </row>
    <row r="15" ht="19.5" customHeight="1">
      <c r="A15" s="8" t="s">
        <v>184</v>
      </c>
      <c r="B15" s="10" t="s">
        <v>185</v>
      </c>
      <c r="C15" s="35"/>
      <c r="D15" s="37" t="str">
        <f t="shared" si="3"/>
        <v>offen</v>
      </c>
      <c r="E15" s="43"/>
    </row>
    <row r="16" ht="19.5" customHeight="1">
      <c r="A16" s="41" t="s">
        <v>186</v>
      </c>
      <c r="B16" s="42" t="s">
        <v>187</v>
      </c>
      <c r="C16" s="35"/>
      <c r="D16" s="37" t="str">
        <f t="shared" si="3"/>
        <v>offen</v>
      </c>
      <c r="E16" s="43"/>
    </row>
    <row r="17" ht="19.5" customHeight="1">
      <c r="A17" s="8" t="s">
        <v>188</v>
      </c>
      <c r="B17" s="10" t="s">
        <v>189</v>
      </c>
      <c r="C17" s="35"/>
      <c r="D17" s="37" t="str">
        <f t="shared" si="3"/>
        <v>offen</v>
      </c>
      <c r="E17" s="43"/>
    </row>
    <row r="18" ht="19.5" customHeight="1">
      <c r="A18" s="41" t="s">
        <v>190</v>
      </c>
      <c r="B18" s="42" t="s">
        <v>191</v>
      </c>
      <c r="C18" s="35"/>
      <c r="D18" s="37" t="str">
        <f t="shared" si="3"/>
        <v>offen</v>
      </c>
      <c r="E18" s="43"/>
    </row>
    <row r="19" ht="19.5" customHeight="1">
      <c r="A19" s="8" t="s">
        <v>192</v>
      </c>
      <c r="B19" s="10" t="s">
        <v>193</v>
      </c>
      <c r="C19" s="35"/>
      <c r="D19" s="37" t="str">
        <f t="shared" si="3"/>
        <v>offen</v>
      </c>
      <c r="E19" s="43"/>
    </row>
    <row r="22" ht="6" customHeight="1"/>
    <row r="23" ht="15" customHeight="1">
      <c r="A23" s="45" t="s">
        <v>194</v>
      </c>
      <c r="B23" s="45"/>
      <c r="C23" s="45"/>
      <c r="D23" s="45"/>
      <c r="E23" s="45"/>
    </row>
    <row r="24" ht="19.5" customHeight="1">
      <c r="A24" s="46" t="s">
        <v>91</v>
      </c>
      <c r="B24" s="47" t="s">
        <v>171</v>
      </c>
      <c r="C24" s="47"/>
      <c r="D24" s="47"/>
      <c r="E24" s="47"/>
    </row>
    <row r="25" ht="19.5" customHeight="1">
      <c r="A25" s="46" t="s">
        <v>92</v>
      </c>
      <c r="B25" s="48"/>
      <c r="C25" s="48"/>
      <c r="D25" s="48"/>
      <c r="E25" s="48"/>
    </row>
    <row r="26" ht="19.5" customHeight="1">
      <c r="A26" s="46" t="s">
        <v>195</v>
      </c>
      <c r="B26" s="48"/>
      <c r="C26" s="48"/>
      <c r="D26" s="48"/>
      <c r="E26" s="48"/>
    </row>
    <row r="27" ht="19.5" customHeight="1">
      <c r="A27" s="46" t="s">
        <v>103</v>
      </c>
      <c r="B27" s="48" t="s">
        <v>137</v>
      </c>
      <c r="C27" s="48"/>
      <c r="D27" s="48"/>
      <c r="E27" s="48"/>
    </row>
    <row r="28" ht="19.5" customHeight="1">
      <c r="A28" s="46" t="s">
        <v>106</v>
      </c>
      <c r="B28" s="48"/>
      <c r="C28" s="48"/>
      <c r="D28" s="48"/>
      <c r="E28" s="48"/>
    </row>
    <row r="29" ht="19.5" customHeight="1">
      <c r="A29" s="46" t="s">
        <v>196</v>
      </c>
      <c r="B29" s="48"/>
      <c r="C29" s="48"/>
      <c r="D29" s="48"/>
      <c r="E29" s="48"/>
    </row>
    <row r="30" ht="6" customHeight="1"/>
    <row r="32" ht="15" customHeight="1">
      <c r="A32" s="45" t="s">
        <v>197</v>
      </c>
      <c r="B32" s="45"/>
      <c r="C32" s="45"/>
      <c r="D32" s="45"/>
      <c r="E32" s="45"/>
    </row>
    <row r="33" ht="19.5" customHeight="1">
      <c r="A33" s="46" t="s">
        <v>91</v>
      </c>
      <c r="B33" s="47" t="s">
        <v>173</v>
      </c>
      <c r="C33" s="47"/>
      <c r="D33" s="47"/>
      <c r="E33" s="47"/>
    </row>
    <row r="34" ht="19.5" customHeight="1">
      <c r="A34" s="46" t="s">
        <v>92</v>
      </c>
      <c r="B34" s="48"/>
      <c r="C34" s="48"/>
      <c r="D34" s="48"/>
      <c r="E34" s="48"/>
    </row>
    <row r="35" ht="19.5" customHeight="1">
      <c r="A35" s="46" t="s">
        <v>195</v>
      </c>
      <c r="B35" s="48"/>
      <c r="C35" s="48"/>
      <c r="D35" s="48"/>
      <c r="E35" s="48"/>
    </row>
    <row r="36" ht="19.5" customHeight="1">
      <c r="A36" s="46" t="s">
        <v>103</v>
      </c>
      <c r="B36" s="48" t="s">
        <v>137</v>
      </c>
      <c r="C36" s="48"/>
      <c r="D36" s="48"/>
      <c r="E36" s="48"/>
    </row>
    <row r="37" ht="19.5" customHeight="1">
      <c r="A37" s="46" t="s">
        <v>106</v>
      </c>
      <c r="B37" s="48"/>
      <c r="C37" s="48"/>
      <c r="D37" s="48"/>
      <c r="E37" s="48"/>
    </row>
    <row r="38" ht="19.5" customHeight="1">
      <c r="A38" s="46" t="s">
        <v>196</v>
      </c>
      <c r="B38" s="48"/>
      <c r="C38" s="48"/>
      <c r="D38" s="48"/>
      <c r="E38" s="48"/>
    </row>
    <row r="39" ht="6" customHeight="1"/>
    <row r="41" ht="15" customHeight="1">
      <c r="A41" s="45" t="s">
        <v>198</v>
      </c>
      <c r="B41" s="45"/>
      <c r="C41" s="45"/>
      <c r="D41" s="45"/>
      <c r="E41" s="45"/>
    </row>
    <row r="42" ht="19.5" customHeight="1">
      <c r="A42" s="46" t="s">
        <v>91</v>
      </c>
      <c r="B42" s="47" t="s">
        <v>175</v>
      </c>
      <c r="C42" s="47"/>
      <c r="D42" s="47"/>
      <c r="E42" s="47"/>
    </row>
    <row r="43" ht="19.5" customHeight="1">
      <c r="A43" s="46" t="s">
        <v>92</v>
      </c>
      <c r="B43" s="48"/>
      <c r="C43" s="48"/>
      <c r="D43" s="48"/>
      <c r="E43" s="48"/>
    </row>
    <row r="44" ht="19.5" customHeight="1">
      <c r="A44" s="46" t="s">
        <v>195</v>
      </c>
      <c r="B44" s="48"/>
      <c r="C44" s="48"/>
      <c r="D44" s="48"/>
      <c r="E44" s="48"/>
    </row>
    <row r="45" ht="19.5" customHeight="1">
      <c r="A45" s="46" t="s">
        <v>103</v>
      </c>
      <c r="B45" s="48" t="s">
        <v>137</v>
      </c>
      <c r="C45" s="48"/>
      <c r="D45" s="48"/>
      <c r="E45" s="48"/>
    </row>
    <row r="46" ht="19.5" customHeight="1">
      <c r="A46" s="46" t="s">
        <v>106</v>
      </c>
      <c r="B46" s="48"/>
      <c r="C46" s="48"/>
      <c r="D46" s="48"/>
      <c r="E46" s="48"/>
    </row>
    <row r="47" ht="19.5" customHeight="1">
      <c r="A47" s="46" t="s">
        <v>196</v>
      </c>
      <c r="B47" s="48"/>
      <c r="C47" s="48"/>
      <c r="D47" s="48"/>
      <c r="E47" s="48"/>
    </row>
    <row r="48" ht="6" customHeight="1"/>
    <row r="50" ht="15" customHeight="1">
      <c r="A50" s="45" t="s">
        <v>199</v>
      </c>
      <c r="B50" s="45"/>
      <c r="C50" s="45"/>
      <c r="D50" s="45"/>
      <c r="E50" s="45"/>
    </row>
    <row r="51" ht="19.5" customHeight="1">
      <c r="A51" s="46" t="s">
        <v>91</v>
      </c>
      <c r="B51" s="47" t="s">
        <v>177</v>
      </c>
      <c r="C51" s="47"/>
      <c r="D51" s="47"/>
      <c r="E51" s="47"/>
    </row>
    <row r="52" ht="19.5" customHeight="1">
      <c r="A52" s="46" t="s">
        <v>92</v>
      </c>
      <c r="B52" s="48"/>
      <c r="C52" s="48"/>
      <c r="D52" s="48"/>
      <c r="E52" s="48"/>
    </row>
    <row r="53" ht="19.5" customHeight="1">
      <c r="A53" s="46" t="s">
        <v>195</v>
      </c>
      <c r="B53" s="48"/>
      <c r="C53" s="48"/>
      <c r="D53" s="48"/>
      <c r="E53" s="48"/>
    </row>
    <row r="54" ht="19.5" customHeight="1">
      <c r="A54" s="46" t="s">
        <v>103</v>
      </c>
      <c r="B54" s="48" t="s">
        <v>137</v>
      </c>
      <c r="C54" s="48"/>
      <c r="D54" s="48"/>
      <c r="E54" s="48"/>
    </row>
    <row r="55" ht="19.5" customHeight="1">
      <c r="A55" s="46" t="s">
        <v>106</v>
      </c>
      <c r="B55" s="48"/>
      <c r="C55" s="48"/>
      <c r="D55" s="48"/>
      <c r="E55" s="48"/>
    </row>
    <row r="56" ht="19.5" customHeight="1">
      <c r="A56" s="46" t="s">
        <v>196</v>
      </c>
      <c r="B56" s="48"/>
      <c r="C56" s="48"/>
      <c r="D56" s="48"/>
      <c r="E56" s="48"/>
    </row>
    <row r="57" ht="6" customHeight="1"/>
    <row r="59" ht="15" customHeight="1">
      <c r="A59" s="45" t="s">
        <v>200</v>
      </c>
      <c r="B59" s="45"/>
      <c r="C59" s="45"/>
      <c r="D59" s="45"/>
      <c r="E59" s="45"/>
    </row>
    <row r="60" ht="19.5" customHeight="1">
      <c r="A60" s="46" t="s">
        <v>91</v>
      </c>
      <c r="B60" s="47" t="s">
        <v>179</v>
      </c>
      <c r="C60" s="47"/>
      <c r="D60" s="47"/>
      <c r="E60" s="47"/>
    </row>
    <row r="61" ht="19.5" customHeight="1">
      <c r="A61" s="46" t="s">
        <v>92</v>
      </c>
      <c r="B61" s="48"/>
      <c r="C61" s="48"/>
      <c r="D61" s="48"/>
      <c r="E61" s="48"/>
    </row>
    <row r="62" ht="19.5" customHeight="1">
      <c r="A62" s="46" t="s">
        <v>195</v>
      </c>
      <c r="B62" s="48"/>
      <c r="C62" s="48"/>
      <c r="D62" s="48"/>
      <c r="E62" s="48"/>
    </row>
    <row r="63" ht="19.5" customHeight="1">
      <c r="A63" s="46" t="s">
        <v>103</v>
      </c>
      <c r="B63" s="48" t="s">
        <v>137</v>
      </c>
      <c r="C63" s="48"/>
      <c r="D63" s="48"/>
      <c r="E63" s="48"/>
    </row>
    <row r="64" ht="19.5" customHeight="1">
      <c r="A64" s="46" t="s">
        <v>106</v>
      </c>
      <c r="B64" s="48"/>
      <c r="C64" s="48"/>
      <c r="D64" s="48"/>
      <c r="E64" s="48"/>
    </row>
    <row r="65" ht="19.5" customHeight="1">
      <c r="A65" s="46" t="s">
        <v>196</v>
      </c>
      <c r="B65" s="48"/>
      <c r="C65" s="48"/>
      <c r="D65" s="48"/>
      <c r="E65" s="48"/>
    </row>
    <row r="66" ht="6" customHeight="1"/>
    <row r="68" ht="15" customHeight="1">
      <c r="A68" s="45" t="s">
        <v>201</v>
      </c>
      <c r="B68" s="45"/>
      <c r="C68" s="45"/>
      <c r="D68" s="45"/>
      <c r="E68" s="45"/>
    </row>
    <row r="69" ht="19.5" customHeight="1">
      <c r="A69" s="46" t="s">
        <v>91</v>
      </c>
      <c r="B69" s="47" t="s">
        <v>181</v>
      </c>
      <c r="C69" s="47"/>
      <c r="D69" s="47"/>
      <c r="E69" s="47"/>
    </row>
    <row r="70" ht="19.5" customHeight="1">
      <c r="A70" s="46" t="s">
        <v>92</v>
      </c>
      <c r="B70" s="48"/>
      <c r="C70" s="48"/>
      <c r="D70" s="48"/>
      <c r="E70" s="48"/>
    </row>
    <row r="71" ht="19.5" customHeight="1">
      <c r="A71" s="46" t="s">
        <v>195</v>
      </c>
      <c r="B71" s="48"/>
      <c r="C71" s="48"/>
      <c r="D71" s="48"/>
      <c r="E71" s="48"/>
    </row>
    <row r="72" ht="19.5" customHeight="1">
      <c r="A72" s="46" t="s">
        <v>103</v>
      </c>
      <c r="B72" s="48" t="s">
        <v>137</v>
      </c>
      <c r="C72" s="48"/>
      <c r="D72" s="48"/>
      <c r="E72" s="48"/>
    </row>
    <row r="73" ht="19.5" customHeight="1">
      <c r="A73" s="46" t="s">
        <v>106</v>
      </c>
      <c r="B73" s="48"/>
      <c r="C73" s="48"/>
      <c r="D73" s="48"/>
      <c r="E73" s="48"/>
    </row>
    <row r="74" ht="19.5" customHeight="1">
      <c r="A74" s="46" t="s">
        <v>196</v>
      </c>
      <c r="B74" s="48"/>
      <c r="C74" s="48"/>
      <c r="D74" s="48"/>
      <c r="E74" s="48"/>
    </row>
    <row r="75" ht="6" customHeight="1"/>
    <row r="77" ht="15" customHeight="1">
      <c r="A77" s="45" t="s">
        <v>202</v>
      </c>
      <c r="B77" s="45"/>
      <c r="C77" s="45"/>
      <c r="D77" s="45"/>
      <c r="E77" s="45"/>
    </row>
    <row r="78" ht="19.5" customHeight="1">
      <c r="A78" s="46" t="s">
        <v>91</v>
      </c>
      <c r="B78" s="47" t="s">
        <v>183</v>
      </c>
      <c r="C78" s="47"/>
      <c r="D78" s="47"/>
      <c r="E78" s="47"/>
    </row>
    <row r="79" ht="19.5" customHeight="1">
      <c r="A79" s="46" t="s">
        <v>92</v>
      </c>
      <c r="B79" s="48"/>
      <c r="C79" s="48"/>
      <c r="D79" s="48"/>
      <c r="E79" s="48"/>
    </row>
    <row r="80" ht="19.5" customHeight="1">
      <c r="A80" s="46" t="s">
        <v>195</v>
      </c>
      <c r="B80" s="48"/>
      <c r="C80" s="48"/>
      <c r="D80" s="48"/>
      <c r="E80" s="48"/>
    </row>
    <row r="81" ht="19.5" customHeight="1">
      <c r="A81" s="46" t="s">
        <v>103</v>
      </c>
      <c r="B81" s="48" t="s">
        <v>137</v>
      </c>
      <c r="C81" s="48"/>
      <c r="D81" s="48"/>
      <c r="E81" s="48"/>
    </row>
    <row r="82" ht="19.5" customHeight="1">
      <c r="A82" s="46" t="s">
        <v>106</v>
      </c>
      <c r="B82" s="48"/>
      <c r="C82" s="48"/>
      <c r="D82" s="48"/>
      <c r="E82" s="48"/>
    </row>
    <row r="83" ht="19.5" customHeight="1">
      <c r="A83" s="46" t="s">
        <v>196</v>
      </c>
      <c r="B83" s="48"/>
      <c r="C83" s="48"/>
      <c r="D83" s="48"/>
      <c r="E83" s="48"/>
    </row>
    <row r="84" ht="6" customHeight="1"/>
    <row r="86" ht="15" customHeight="1">
      <c r="A86" s="45" t="s">
        <v>203</v>
      </c>
      <c r="B86" s="45"/>
      <c r="C86" s="45"/>
      <c r="D86" s="45"/>
      <c r="E86" s="45"/>
    </row>
    <row r="87" ht="19.5" customHeight="1">
      <c r="A87" s="46" t="s">
        <v>91</v>
      </c>
      <c r="B87" s="47" t="s">
        <v>185</v>
      </c>
      <c r="C87" s="47"/>
      <c r="D87" s="47"/>
      <c r="E87" s="47"/>
    </row>
    <row r="88" ht="19.5" customHeight="1">
      <c r="A88" s="46" t="s">
        <v>92</v>
      </c>
      <c r="B88" s="48"/>
      <c r="C88" s="48"/>
      <c r="D88" s="48"/>
      <c r="E88" s="48"/>
    </row>
    <row r="89" ht="19.5" customHeight="1">
      <c r="A89" s="46" t="s">
        <v>195</v>
      </c>
      <c r="B89" s="48"/>
      <c r="C89" s="48"/>
      <c r="D89" s="48"/>
      <c r="E89" s="48"/>
    </row>
    <row r="90" ht="19.5" customHeight="1">
      <c r="A90" s="46" t="s">
        <v>103</v>
      </c>
      <c r="B90" s="48" t="s">
        <v>137</v>
      </c>
      <c r="C90" s="48"/>
      <c r="D90" s="48"/>
      <c r="E90" s="48"/>
    </row>
    <row r="91" ht="19.5" customHeight="1">
      <c r="A91" s="46" t="s">
        <v>106</v>
      </c>
      <c r="B91" s="48"/>
      <c r="C91" s="48"/>
      <c r="D91" s="48"/>
      <c r="E91" s="48"/>
    </row>
    <row r="92" ht="19.5" customHeight="1">
      <c r="A92" s="46" t="s">
        <v>196</v>
      </c>
      <c r="B92" s="48"/>
      <c r="C92" s="48"/>
      <c r="D92" s="48"/>
      <c r="E92" s="48"/>
    </row>
    <row r="93" ht="6" customHeight="1"/>
    <row r="95" ht="15" customHeight="1">
      <c r="A95" s="45" t="s">
        <v>204</v>
      </c>
      <c r="B95" s="45"/>
      <c r="C95" s="45"/>
      <c r="D95" s="45"/>
      <c r="E95" s="45"/>
    </row>
    <row r="96" ht="19.5" customHeight="1">
      <c r="A96" s="46" t="s">
        <v>91</v>
      </c>
      <c r="B96" s="47" t="s">
        <v>187</v>
      </c>
      <c r="C96" s="47"/>
      <c r="D96" s="47"/>
      <c r="E96" s="47"/>
    </row>
    <row r="97" ht="19.5" customHeight="1">
      <c r="A97" s="46" t="s">
        <v>92</v>
      </c>
      <c r="B97" s="48"/>
      <c r="C97" s="48"/>
      <c r="D97" s="48"/>
      <c r="E97" s="48"/>
    </row>
    <row r="98" ht="19.5" customHeight="1">
      <c r="A98" s="46" t="s">
        <v>195</v>
      </c>
      <c r="B98" s="48"/>
      <c r="C98" s="48"/>
      <c r="D98" s="48"/>
      <c r="E98" s="48"/>
    </row>
    <row r="99" ht="19.5" customHeight="1">
      <c r="A99" s="46" t="s">
        <v>103</v>
      </c>
      <c r="B99" s="48" t="s">
        <v>137</v>
      </c>
      <c r="C99" s="48"/>
      <c r="D99" s="48"/>
      <c r="E99" s="48"/>
    </row>
    <row r="100" ht="19.5" customHeight="1">
      <c r="A100" s="46" t="s">
        <v>106</v>
      </c>
      <c r="B100" s="48"/>
      <c r="C100" s="48"/>
      <c r="D100" s="48"/>
      <c r="E100" s="48"/>
    </row>
    <row r="101" ht="19.5" customHeight="1">
      <c r="A101" s="46" t="s">
        <v>196</v>
      </c>
      <c r="B101" s="48"/>
      <c r="C101" s="48"/>
      <c r="D101" s="48"/>
      <c r="E101" s="48"/>
    </row>
    <row r="102" ht="6" customHeight="1"/>
    <row r="104" ht="15" customHeight="1">
      <c r="A104" s="45" t="s">
        <v>205</v>
      </c>
      <c r="B104" s="45"/>
      <c r="C104" s="45"/>
      <c r="D104" s="45"/>
      <c r="E104" s="45"/>
    </row>
    <row r="105" ht="19.5" customHeight="1">
      <c r="A105" s="46" t="s">
        <v>91</v>
      </c>
      <c r="B105" s="47" t="s">
        <v>189</v>
      </c>
      <c r="C105" s="47"/>
      <c r="D105" s="47"/>
      <c r="E105" s="47"/>
    </row>
    <row r="106" ht="19.5" customHeight="1">
      <c r="A106" s="46" t="s">
        <v>92</v>
      </c>
      <c r="B106" s="48"/>
      <c r="C106" s="48"/>
      <c r="D106" s="48"/>
      <c r="E106" s="48"/>
    </row>
    <row r="107" ht="19.5" customHeight="1">
      <c r="A107" s="46" t="s">
        <v>195</v>
      </c>
      <c r="B107" s="48"/>
      <c r="C107" s="48"/>
      <c r="D107" s="48"/>
      <c r="E107" s="48"/>
    </row>
    <row r="108" ht="19.5" customHeight="1">
      <c r="A108" s="46" t="s">
        <v>103</v>
      </c>
      <c r="B108" s="48" t="s">
        <v>137</v>
      </c>
      <c r="C108" s="48"/>
      <c r="D108" s="48"/>
      <c r="E108" s="48"/>
    </row>
    <row r="109" ht="19.5" customHeight="1">
      <c r="A109" s="46" t="s">
        <v>106</v>
      </c>
      <c r="B109" s="48"/>
      <c r="C109" s="48"/>
      <c r="D109" s="48"/>
      <c r="E109" s="48"/>
    </row>
    <row r="110" ht="19.5" customHeight="1">
      <c r="A110" s="46" t="s">
        <v>196</v>
      </c>
      <c r="B110" s="48"/>
      <c r="C110" s="48"/>
      <c r="D110" s="48"/>
      <c r="E110" s="48"/>
    </row>
    <row r="111" ht="6" customHeight="1"/>
    <row r="113" ht="15" customHeight="1">
      <c r="A113" s="45" t="s">
        <v>206</v>
      </c>
      <c r="B113" s="45"/>
      <c r="C113" s="45"/>
      <c r="D113" s="45"/>
      <c r="E113" s="45"/>
    </row>
    <row r="114" ht="19.5" customHeight="1">
      <c r="A114" s="46" t="s">
        <v>91</v>
      </c>
      <c r="B114" s="47" t="s">
        <v>191</v>
      </c>
      <c r="C114" s="47"/>
      <c r="D114" s="47"/>
      <c r="E114" s="47"/>
    </row>
    <row r="115" ht="19.5" customHeight="1">
      <c r="A115" s="46" t="s">
        <v>92</v>
      </c>
      <c r="B115" s="48"/>
      <c r="C115" s="48"/>
      <c r="D115" s="48"/>
      <c r="E115" s="48"/>
    </row>
    <row r="116" ht="19.5" customHeight="1">
      <c r="A116" s="46" t="s">
        <v>195</v>
      </c>
      <c r="B116" s="48"/>
      <c r="C116" s="48"/>
      <c r="D116" s="48"/>
      <c r="E116" s="48"/>
    </row>
    <row r="117" ht="19.5" customHeight="1">
      <c r="A117" s="46" t="s">
        <v>103</v>
      </c>
      <c r="B117" s="48" t="s">
        <v>137</v>
      </c>
      <c r="C117" s="48"/>
      <c r="D117" s="48"/>
      <c r="E117" s="48"/>
    </row>
    <row r="118" ht="19.5" customHeight="1">
      <c r="A118" s="46" t="s">
        <v>106</v>
      </c>
      <c r="B118" s="48"/>
      <c r="C118" s="48"/>
      <c r="D118" s="48"/>
      <c r="E118" s="48"/>
    </row>
    <row r="119" ht="19.5" customHeight="1">
      <c r="A119" s="46" t="s">
        <v>196</v>
      </c>
      <c r="B119" s="48"/>
      <c r="C119" s="48"/>
      <c r="D119" s="48"/>
      <c r="E119" s="48"/>
    </row>
    <row r="120" ht="6" customHeight="1"/>
    <row r="122" ht="15" customHeight="1">
      <c r="A122" s="45" t="s">
        <v>207</v>
      </c>
      <c r="B122" s="45"/>
      <c r="C122" s="45"/>
      <c r="D122" s="45"/>
      <c r="E122" s="45"/>
    </row>
    <row r="123" ht="19.5" customHeight="1">
      <c r="A123" s="46" t="s">
        <v>91</v>
      </c>
      <c r="B123" s="47" t="s">
        <v>193</v>
      </c>
      <c r="C123" s="47"/>
      <c r="D123" s="47"/>
      <c r="E123" s="47"/>
    </row>
    <row r="124" ht="19.5" customHeight="1">
      <c r="A124" s="46" t="s">
        <v>92</v>
      </c>
      <c r="B124" s="48"/>
      <c r="C124" s="48"/>
      <c r="D124" s="48"/>
      <c r="E124" s="48"/>
    </row>
    <row r="125" ht="19.5" customHeight="1">
      <c r="A125" s="46" t="s">
        <v>195</v>
      </c>
      <c r="B125" s="48"/>
      <c r="C125" s="48"/>
      <c r="D125" s="48"/>
      <c r="E125" s="48"/>
    </row>
    <row r="126" ht="19.5" customHeight="1">
      <c r="A126" s="46" t="s">
        <v>103</v>
      </c>
      <c r="B126" s="48" t="s">
        <v>137</v>
      </c>
      <c r="C126" s="48"/>
      <c r="D126" s="48"/>
      <c r="E126" s="48"/>
    </row>
    <row r="127" ht="19.5" customHeight="1">
      <c r="A127" s="46" t="s">
        <v>106</v>
      </c>
      <c r="B127" s="48"/>
      <c r="C127" s="48"/>
      <c r="D127" s="48"/>
      <c r="E127" s="48"/>
    </row>
    <row r="128" ht="19.5" customHeight="1">
      <c r="A128" s="46" t="s">
        <v>196</v>
      </c>
      <c r="B128" s="48"/>
      <c r="C128" s="48"/>
      <c r="D128" s="48"/>
      <c r="E128" s="48"/>
    </row>
    <row r="129" ht="6" customHeight="1"/>
  </sheetData>
  <mergeCells count="85">
    <mergeCell ref="A1:E1"/>
    <mergeCell ref="A23:E23"/>
    <mergeCell ref="B24:E24"/>
    <mergeCell ref="B25:E25"/>
    <mergeCell ref="B26:E26"/>
    <mergeCell ref="B27:E27"/>
    <mergeCell ref="B28:E28"/>
    <mergeCell ref="B29:E29"/>
    <mergeCell ref="A32:E32"/>
    <mergeCell ref="B33:E33"/>
    <mergeCell ref="B34:E34"/>
    <mergeCell ref="B35:E35"/>
    <mergeCell ref="B36:E36"/>
    <mergeCell ref="B37:E37"/>
    <mergeCell ref="B38:E38"/>
    <mergeCell ref="A41:E41"/>
    <mergeCell ref="B42:E42"/>
    <mergeCell ref="B43:E43"/>
    <mergeCell ref="B44:E44"/>
    <mergeCell ref="B45:E45"/>
    <mergeCell ref="B46:E46"/>
    <mergeCell ref="B47:E47"/>
    <mergeCell ref="A50:E50"/>
    <mergeCell ref="B51:E51"/>
    <mergeCell ref="B52:E52"/>
    <mergeCell ref="B53:E53"/>
    <mergeCell ref="B54:E54"/>
    <mergeCell ref="B55:E55"/>
    <mergeCell ref="B56:E56"/>
    <mergeCell ref="A59:E59"/>
    <mergeCell ref="B60:E60"/>
    <mergeCell ref="B61:E61"/>
    <mergeCell ref="B62:E62"/>
    <mergeCell ref="B63:E63"/>
    <mergeCell ref="B64:E64"/>
    <mergeCell ref="B65:E65"/>
    <mergeCell ref="A68:E68"/>
    <mergeCell ref="B69:E69"/>
    <mergeCell ref="B70:E70"/>
    <mergeCell ref="B71:E71"/>
    <mergeCell ref="B72:E72"/>
    <mergeCell ref="B73:E73"/>
    <mergeCell ref="B74:E74"/>
    <mergeCell ref="A77:E77"/>
    <mergeCell ref="B78:E78"/>
    <mergeCell ref="B79:E79"/>
    <mergeCell ref="B80:E80"/>
    <mergeCell ref="B81:E81"/>
    <mergeCell ref="B82:E82"/>
    <mergeCell ref="B83:E83"/>
    <mergeCell ref="A86:E86"/>
    <mergeCell ref="B87:E87"/>
    <mergeCell ref="B88:E88"/>
    <mergeCell ref="B89:E89"/>
    <mergeCell ref="B90:E90"/>
    <mergeCell ref="B91:E91"/>
    <mergeCell ref="B92:E92"/>
    <mergeCell ref="A95:E95"/>
    <mergeCell ref="B96:E96"/>
    <mergeCell ref="B97:E97"/>
    <mergeCell ref="B98:E98"/>
    <mergeCell ref="B99:E99"/>
    <mergeCell ref="B100:E100"/>
    <mergeCell ref="B101:E101"/>
    <mergeCell ref="A104:E104"/>
    <mergeCell ref="B105:E105"/>
    <mergeCell ref="B106:E106"/>
    <mergeCell ref="B107:E107"/>
    <mergeCell ref="B108:E108"/>
    <mergeCell ref="B109:E109"/>
    <mergeCell ref="B110:E110"/>
    <mergeCell ref="A113:E113"/>
    <mergeCell ref="B114:E114"/>
    <mergeCell ref="B115:E115"/>
    <mergeCell ref="B116:E116"/>
    <mergeCell ref="B117:E117"/>
    <mergeCell ref="B118:E118"/>
    <mergeCell ref="B119:E119"/>
    <mergeCell ref="A122:E122"/>
    <mergeCell ref="B123:E123"/>
    <mergeCell ref="B124:E124"/>
    <mergeCell ref="B125:E125"/>
    <mergeCell ref="B126:E126"/>
    <mergeCell ref="B127:E127"/>
    <mergeCell ref="B128:E128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F5" activeCellId="0" sqref="F5"/>
    </sheetView>
  </sheetViews>
  <sheetFormatPr baseColWidth="10" defaultColWidth="8.6640625" defaultRowHeight="14.4"/>
  <cols>
    <col customWidth="1" min="1" max="1" width="6"/>
    <col customWidth="1" min="2" max="2" width="13"/>
    <col customWidth="1" min="3" max="3" width="22"/>
    <col customWidth="1" min="4" max="4" width="38"/>
    <col customWidth="1" min="5" max="5" width="20"/>
    <col customWidth="1" min="6" max="6" width="16"/>
  </cols>
  <sheetData>
    <row r="1" ht="17.25" customHeight="1">
      <c r="A1" s="24" t="s">
        <v>208</v>
      </c>
      <c r="B1" s="24"/>
      <c r="C1" s="24"/>
      <c r="D1" s="24"/>
      <c r="E1" s="24"/>
      <c r="F1" s="24"/>
    </row>
    <row r="3" ht="24.75" customHeight="1">
      <c r="A3" s="5" t="s">
        <v>209</v>
      </c>
      <c r="B3" s="5" t="s">
        <v>210</v>
      </c>
      <c r="C3" s="5" t="s">
        <v>211</v>
      </c>
      <c r="D3" s="5" t="s">
        <v>212</v>
      </c>
      <c r="E3" s="5" t="s">
        <v>213</v>
      </c>
      <c r="F3" s="5" t="s">
        <v>214</v>
      </c>
    </row>
    <row r="4" ht="15" customHeight="1">
      <c r="A4" s="41">
        <v>1</v>
      </c>
      <c r="B4" s="49">
        <v>46168</v>
      </c>
      <c r="C4" s="42" t="s">
        <v>17</v>
      </c>
      <c r="D4" s="50" t="s">
        <v>215</v>
      </c>
      <c r="E4" s="42" t="s">
        <v>8</v>
      </c>
      <c r="F4" s="42" t="str">
        <f t="shared" ref="F4:F9" si="4">IF(ISBLANK(B4),"offen","fertig")</f>
        <v>fertig</v>
      </c>
    </row>
    <row r="5" ht="15" customHeight="1">
      <c r="A5" s="8">
        <v>2</v>
      </c>
      <c r="B5" s="49">
        <v>46170</v>
      </c>
      <c r="C5" s="10" t="s">
        <v>27</v>
      </c>
      <c r="D5" s="9" t="s">
        <v>216</v>
      </c>
      <c r="E5" s="10" t="s">
        <v>8</v>
      </c>
      <c r="F5" s="42" t="str">
        <f t="shared" si="4"/>
        <v>fertig</v>
      </c>
    </row>
    <row r="6" ht="15" customHeight="1">
      <c r="A6" s="41">
        <v>3</v>
      </c>
      <c r="B6" s="35">
        <v>46175</v>
      </c>
      <c r="C6" s="42" t="s">
        <v>33</v>
      </c>
      <c r="D6" s="50" t="s">
        <v>217</v>
      </c>
      <c r="E6" s="42" t="s">
        <v>8</v>
      </c>
      <c r="F6" s="42" t="str">
        <f t="shared" si="4"/>
        <v>fertig</v>
      </c>
    </row>
    <row r="7" ht="15" customHeight="1">
      <c r="A7" s="8">
        <v>4</v>
      </c>
      <c r="B7" s="35">
        <v>46184</v>
      </c>
      <c r="C7" s="10" t="s">
        <v>218</v>
      </c>
      <c r="D7" s="9" t="s">
        <v>219</v>
      </c>
      <c r="E7" s="10" t="s">
        <v>8</v>
      </c>
      <c r="F7" s="42" t="str">
        <f t="shared" si="4"/>
        <v>fertig</v>
      </c>
    </row>
    <row r="8" ht="15" customHeight="1">
      <c r="A8" s="41">
        <v>5</v>
      </c>
      <c r="B8" s="35"/>
      <c r="C8" s="42" t="s">
        <v>220</v>
      </c>
      <c r="D8" s="50" t="s">
        <v>221</v>
      </c>
      <c r="E8" s="42" t="s">
        <v>8</v>
      </c>
      <c r="F8" s="42" t="str">
        <f t="shared" si="4"/>
        <v>offen</v>
      </c>
    </row>
    <row r="9" ht="15" customHeight="1">
      <c r="A9" s="8">
        <v>6</v>
      </c>
      <c r="B9" s="35"/>
      <c r="C9" s="10" t="s">
        <v>222</v>
      </c>
      <c r="D9" s="9" t="s">
        <v>223</v>
      </c>
      <c r="E9" s="10" t="s">
        <v>8</v>
      </c>
      <c r="F9" s="42" t="str">
        <f t="shared" si="4"/>
        <v>offen</v>
      </c>
    </row>
  </sheetData>
  <mergeCells count="1">
    <mergeCell ref="A1:F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9" zoomScale="100" workbookViewId="0">
      <selection activeCell="A1" activeCellId="0" sqref="A1"/>
    </sheetView>
  </sheetViews>
  <sheetFormatPr baseColWidth="10" defaultColWidth="8.6640625" defaultRowHeight="14.4"/>
  <cols>
    <col customWidth="1" min="1" max="1" width="80"/>
  </cols>
  <sheetData>
    <row r="1" ht="15.75" customHeight="1">
      <c r="A1" s="51" t="s">
        <v>224</v>
      </c>
    </row>
    <row r="5" ht="15.75" customHeight="1">
      <c r="A5" s="52"/>
    </row>
    <row r="6" ht="15.75" customHeight="1">
      <c r="A6" s="53" t="s">
        <v>225</v>
      </c>
    </row>
    <row r="7" ht="15.75" customHeight="1">
      <c r="A7" s="52" t="s">
        <v>226</v>
      </c>
    </row>
    <row r="8" ht="15.75" customHeight="1">
      <c r="A8" s="52" t="s">
        <v>227</v>
      </c>
    </row>
    <row r="9" ht="15.75" customHeight="1">
      <c r="A9" s="52" t="s">
        <v>228</v>
      </c>
    </row>
    <row r="10" ht="15.75" customHeight="1">
      <c r="A10" s="52" t="s">
        <v>229</v>
      </c>
    </row>
    <row r="11" ht="15.75" customHeight="1">
      <c r="A11" s="52" t="s">
        <v>230</v>
      </c>
    </row>
    <row r="12" ht="15.75" customHeight="1">
      <c r="A12" s="52"/>
    </row>
    <row r="13" ht="15.75" customHeight="1">
      <c r="A13" s="53" t="s">
        <v>231</v>
      </c>
    </row>
    <row r="14" ht="15.75" customHeight="1">
      <c r="A14" s="52" t="s">
        <v>232</v>
      </c>
    </row>
    <row r="15" ht="15.75" customHeight="1">
      <c r="A15" s="52" t="s">
        <v>233</v>
      </c>
    </row>
    <row r="16" ht="15.75" customHeight="1">
      <c r="A16" s="52" t="s">
        <v>234</v>
      </c>
    </row>
    <row r="17" ht="15.75" customHeight="1">
      <c r="A17" s="52" t="s">
        <v>235</v>
      </c>
    </row>
    <row r="18" ht="15.75" customHeight="1">
      <c r="A18" s="52"/>
    </row>
    <row r="19" ht="15.75" customHeight="1">
      <c r="A19" s="53" t="s">
        <v>236</v>
      </c>
    </row>
    <row r="20" ht="15.75" customHeight="1">
      <c r="A20" s="52" t="s">
        <v>237</v>
      </c>
    </row>
    <row r="21" ht="15.75" customHeight="1">
      <c r="A21" s="52" t="s">
        <v>238</v>
      </c>
    </row>
    <row r="22" ht="15.75" customHeight="1">
      <c r="A22" s="52"/>
    </row>
    <row r="23" ht="15.75" customHeight="1">
      <c r="A23" s="53" t="s">
        <v>239</v>
      </c>
    </row>
    <row r="24" ht="15.75" customHeight="1">
      <c r="A24" s="52" t="s">
        <v>240</v>
      </c>
    </row>
    <row r="25" ht="15.75" customHeight="1">
      <c r="A25" s="52" t="s">
        <v>241</v>
      </c>
    </row>
    <row r="26" ht="15.75" customHeight="1">
      <c r="A26" s="52" t="s">
        <v>242</v>
      </c>
    </row>
    <row r="27" ht="15.75" customHeight="1">
      <c r="A27" s="52"/>
    </row>
    <row r="28" ht="15.75" customHeight="1">
      <c r="A28" s="53" t="s">
        <v>243</v>
      </c>
    </row>
    <row r="29" ht="15.75" customHeight="1">
      <c r="A29" s="52" t="s">
        <v>244</v>
      </c>
    </row>
    <row r="30" ht="15.75" customHeight="1">
      <c r="A30" s="52" t="s">
        <v>245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2026-05-28T07:15:55Z</dcterms:created>
  <dcterms:modified xsi:type="dcterms:W3CDTF">2026-06-11T17:45:24Z</dcterms:modified>
</cp:coreProperties>
</file>